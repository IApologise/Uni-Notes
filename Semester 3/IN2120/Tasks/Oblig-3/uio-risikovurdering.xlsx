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C:\Users\Justa\Desktop\Other\UNI\Semester 3\IN2120\Oblig-3\"/>
    </mc:Choice>
  </mc:AlternateContent>
  <xr:revisionPtr revIDLastSave="0" documentId="8_{3FD8441A-E45C-4741-97BE-10FF90C1904C}" xr6:coauthVersionLast="47" xr6:coauthVersionMax="47" xr10:uidLastSave="{00000000-0000-0000-0000-000000000000}"/>
  <bookViews>
    <workbookView xWindow="-120" yWindow="-120" windowWidth="29040" windowHeight="15720" tabRatio="808" activeTab="2" xr2:uid="{00000000-000D-0000-FFFF-FFFF00000000}"/>
  </bookViews>
  <sheets>
    <sheet name="Tjenesteprofil" sheetId="22" r:id="rId1"/>
    <sheet name="Deltakere" sheetId="23" r:id="rId2"/>
    <sheet name="Risikovurdering" sheetId="11" r:id="rId3"/>
  </sheets>
  <definedNames>
    <definedName name="Tjeneste_System">Tjenesteprofil!$B$3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17" i="11" l="1"/>
  <c r="U16" i="11"/>
  <c r="U15" i="11"/>
  <c r="U14" i="11"/>
  <c r="U13" i="11"/>
  <c r="U12" i="11"/>
  <c r="U11" i="11"/>
  <c r="U10" i="11"/>
  <c r="U9" i="11"/>
  <c r="U8" i="11"/>
  <c r="U7" i="11"/>
  <c r="M17" i="11"/>
  <c r="M16" i="11"/>
  <c r="M15" i="11"/>
  <c r="M14" i="11"/>
  <c r="M13" i="11"/>
  <c r="M12" i="11"/>
  <c r="M11" i="11"/>
  <c r="M10" i="11"/>
  <c r="M9" i="11"/>
  <c r="M8" i="11"/>
  <c r="W17" i="11"/>
  <c r="W16" i="11"/>
  <c r="W15" i="11"/>
  <c r="W14" i="11"/>
  <c r="W13" i="11"/>
  <c r="W12" i="11"/>
  <c r="W11" i="11"/>
  <c r="W10" i="11"/>
  <c r="W9" i="11"/>
  <c r="W8" i="11"/>
  <c r="V8" i="11"/>
  <c r="V17" i="11"/>
  <c r="V16" i="11"/>
  <c r="V15" i="11"/>
  <c r="V14" i="11"/>
  <c r="V13" i="11"/>
  <c r="V12" i="11"/>
  <c r="V11" i="11"/>
  <c r="V10" i="11"/>
  <c r="V9" i="11"/>
  <c r="W7" i="11"/>
  <c r="V7" i="11"/>
  <c r="O7" i="11"/>
  <c r="N7" i="11"/>
  <c r="O8" i="11"/>
  <c r="O17" i="11"/>
  <c r="O16" i="11"/>
  <c r="O15" i="11"/>
  <c r="O14" i="11"/>
  <c r="O13" i="11"/>
  <c r="O12" i="11"/>
  <c r="O11" i="11"/>
  <c r="O10" i="11"/>
  <c r="O9" i="11"/>
  <c r="N8" i="11"/>
  <c r="N17" i="11"/>
  <c r="N16" i="11"/>
  <c r="N15" i="11"/>
  <c r="N14" i="11"/>
  <c r="N13" i="11"/>
  <c r="N12" i="11"/>
  <c r="N11" i="11"/>
  <c r="N10" i="11"/>
  <c r="N9" i="11"/>
  <c r="M7" i="11"/>
  <c r="X11" i="11" l="1"/>
  <c r="X17" i="11"/>
  <c r="X9" i="11"/>
  <c r="P9" i="11"/>
  <c r="P17" i="11"/>
  <c r="X7" i="11"/>
  <c r="X15" i="11"/>
  <c r="X13" i="11"/>
  <c r="P11" i="11"/>
  <c r="X16" i="11"/>
  <c r="P16" i="11"/>
  <c r="X8" i="11"/>
  <c r="X10" i="11"/>
  <c r="P10" i="11"/>
  <c r="P12" i="11"/>
  <c r="P13" i="11"/>
  <c r="Y13" i="11" s="1"/>
  <c r="X12" i="11"/>
  <c r="P14" i="11"/>
  <c r="P15" i="11"/>
  <c r="X14" i="11"/>
  <c r="P8" i="11"/>
  <c r="P7" i="11"/>
  <c r="Y16" i="11" l="1"/>
  <c r="Y10" i="11"/>
  <c r="Y8" i="11"/>
  <c r="Y9" i="11"/>
  <c r="Y12" i="11"/>
  <c r="Y11" i="11"/>
  <c r="Y17" i="11"/>
  <c r="Y7" i="11"/>
  <c r="Y14" i="11"/>
  <c r="Y15" i="11"/>
</calcChain>
</file>

<file path=xl/sharedStrings.xml><?xml version="1.0" encoding="utf-8"?>
<sst xmlns="http://schemas.openxmlformats.org/spreadsheetml/2006/main" count="122" uniqueCount="111">
  <si>
    <t>Nr.</t>
  </si>
  <si>
    <t>Virksomhetsområde</t>
  </si>
  <si>
    <t>Prosess</t>
  </si>
  <si>
    <t>Virksomhetsfunksjon</t>
  </si>
  <si>
    <r>
      <t xml:space="preserve">Status </t>
    </r>
    <r>
      <rPr>
        <sz val="11"/>
        <color theme="1"/>
        <rFont val="Calibri"/>
        <family val="2"/>
        <scheme val="minor"/>
      </rPr>
      <t>(test, prod. m.m.)</t>
    </r>
  </si>
  <si>
    <t>Beskrivelse</t>
  </si>
  <si>
    <t>Utbredelse</t>
  </si>
  <si>
    <t>Antall brukere</t>
  </si>
  <si>
    <t>Driftes av</t>
  </si>
  <si>
    <t>Infrastruktur</t>
  </si>
  <si>
    <t>Plattform</t>
  </si>
  <si>
    <t>Tjeneste/System</t>
  </si>
  <si>
    <t>Tjeneste-/Systemeier</t>
  </si>
  <si>
    <t>Dato for risikovurdering</t>
  </si>
  <si>
    <t>Eksempel</t>
  </si>
  <si>
    <t>Deltagere</t>
  </si>
  <si>
    <t>Navn</t>
  </si>
  <si>
    <t>Rolle/funksjon</t>
  </si>
  <si>
    <t>Institusjon</t>
  </si>
  <si>
    <t>Tjeneste/system</t>
  </si>
  <si>
    <t>Sårbarheter</t>
  </si>
  <si>
    <t>Konsekvenser</t>
  </si>
  <si>
    <r>
      <rPr>
        <b/>
        <sz val="11"/>
        <color theme="1"/>
        <rFont val="Calibri"/>
        <family val="2"/>
        <scheme val="minor"/>
      </rPr>
      <t xml:space="preserve">Hvilke verdier er berørt?
Hvilke sikkerhetsbrudd oppstår?
</t>
    </r>
    <r>
      <rPr>
        <sz val="11"/>
        <color theme="1"/>
        <rFont val="Calibri"/>
        <family val="2"/>
        <scheme val="minor"/>
      </rPr>
      <t>Er det brudd på ett eller flere av sikkerhetsmålene KIT + P for en eller flere verdier?</t>
    </r>
  </si>
  <si>
    <t>Trussel</t>
  </si>
  <si>
    <r>
      <rPr>
        <b/>
        <sz val="11"/>
        <color theme="1"/>
        <rFont val="Calibri"/>
        <family val="2"/>
        <scheme val="minor"/>
      </rPr>
      <t xml:space="preserve">Hvordan foregår angrepet? Hvem eller hva kan stå bak?
</t>
    </r>
    <r>
      <rPr>
        <sz val="11"/>
        <color theme="1"/>
        <rFont val="Calibri"/>
        <family val="2"/>
        <scheme val="minor"/>
      </rPr>
      <t xml:space="preserve">Hvilke trinn inngår i scenarioet? </t>
    </r>
    <r>
      <rPr>
        <b/>
        <sz val="11"/>
        <color theme="1"/>
        <rFont val="Calibri"/>
        <family val="2"/>
        <scheme val="minor"/>
      </rPr>
      <t xml:space="preserve">
</t>
    </r>
    <r>
      <rPr>
        <sz val="11"/>
        <color theme="1"/>
        <rFont val="Calibri"/>
        <family val="2"/>
        <scheme val="minor"/>
      </rPr>
      <t>Hvem eller hva trigger hendelsen? For tilsiktede hendelser: Hvilken kapasitet og motiv har trusselaktøren?</t>
    </r>
  </si>
  <si>
    <t>Kvalitativt risikonivå etter</t>
  </si>
  <si>
    <t>Berørte verdier</t>
  </si>
  <si>
    <t>Anbefalte nye sikkerhetstiltak</t>
  </si>
  <si>
    <t>Evne til deteksjon av event eller hendelse</t>
  </si>
  <si>
    <r>
      <t xml:space="preserve">Hvordan utnyttes svakheter og sårbarheter?
</t>
    </r>
    <r>
      <rPr>
        <sz val="11"/>
        <color theme="1"/>
        <rFont val="Calibri"/>
        <family val="2"/>
        <scheme val="minor"/>
      </rPr>
      <t>Hva gjør at trusselscenarioet er gjennomførbart og at angrepet kan bli vellykket sett fra trusselaktørens perspektiv?</t>
    </r>
  </si>
  <si>
    <r>
      <t>Mulige negative konsekvenser?</t>
    </r>
    <r>
      <rPr>
        <sz val="11"/>
        <color theme="1"/>
        <rFont val="Calibri"/>
        <family val="2"/>
        <scheme val="minor"/>
      </rPr>
      <t xml:space="preserve">
Typiske negative konsekvenser er tapt fortjeneste, utfall/svekkelse av tjenester, juridiske konsekvenser, tapt omdømme, kostnad ved gjenoppretting</t>
    </r>
    <r>
      <rPr>
        <b/>
        <sz val="11"/>
        <color theme="1"/>
        <rFont val="Calibri"/>
        <family val="2"/>
        <scheme val="minor"/>
      </rPr>
      <t>.</t>
    </r>
  </si>
  <si>
    <t>Begrunnelse for sannsynlighet</t>
  </si>
  <si>
    <r>
      <rPr>
        <b/>
        <sz val="11"/>
        <color theme="1"/>
        <rFont val="Calibri"/>
        <family val="2"/>
        <scheme val="minor"/>
      </rPr>
      <t>Hvilke relevante momenter påvirker sannsynligheten?</t>
    </r>
    <r>
      <rPr>
        <sz val="11"/>
        <color theme="1"/>
        <rFont val="Calibri"/>
        <family val="2"/>
        <scheme val="minor"/>
      </rPr>
      <t xml:space="preserve"> 
Hvordan vurderes momentene i sammenheng, og hva blir estimert sannsynlighet?</t>
    </r>
  </si>
  <si>
    <t>Begrunnelse for konsekvens</t>
  </si>
  <si>
    <t>Eksisterende sns-reduserende tiltak</t>
  </si>
  <si>
    <t>Eksisterende kkv-reduserende tiltak</t>
  </si>
  <si>
    <r>
      <t xml:space="preserve">Hva gjør hendelsen mindre sannsynlig?
</t>
    </r>
    <r>
      <rPr>
        <sz val="11"/>
        <color theme="1"/>
        <rFont val="Calibri"/>
        <family val="2"/>
        <scheme val="minor"/>
      </rPr>
      <t>Hvilke eksisterende tiltak har vi som kan stoppe eller bremse trusselen slik at sannsynligheten for hendelsen reduseres?</t>
    </r>
  </si>
  <si>
    <r>
      <t xml:space="preserve">Hva gjør konsekvensene mindre alvorlig? 
</t>
    </r>
    <r>
      <rPr>
        <sz val="11"/>
        <color theme="1"/>
        <rFont val="Calibri"/>
        <family val="2"/>
        <scheme val="minor"/>
      </rPr>
      <t>Hvilke eksisterende tiltak har vi som kan redusere hendelsens konsekvensene hvis hendelsen inntreffer?</t>
    </r>
  </si>
  <si>
    <r>
      <t xml:space="preserve">Hvordan endres estimering av sannsynlighet og konsekvens som følge av nye tiltak? </t>
    </r>
    <r>
      <rPr>
        <sz val="11"/>
        <color theme="1"/>
        <rFont val="Calibri"/>
        <family val="2"/>
        <scheme val="minor"/>
      </rPr>
      <t xml:space="preserve">
Hva blir nye nivåer for estimert sannsynlighet og estimert konsekvens av hendelsen.</t>
    </r>
  </si>
  <si>
    <r>
      <rPr>
        <b/>
        <sz val="11"/>
        <color theme="1"/>
        <rFont val="Calibri"/>
        <family val="2"/>
        <scheme val="minor"/>
      </rPr>
      <t>Hvordan kan vi oppdage denne type hendelse?</t>
    </r>
    <r>
      <rPr>
        <sz val="11"/>
        <color theme="1"/>
        <rFont val="Calibri"/>
        <family val="2"/>
        <scheme val="minor"/>
      </rPr>
      <t xml:space="preserve"> 
Hvilke metoder eller måter har vi som gjør at vi kan oppdage relevante eventer eller selve hendelsen?</t>
    </r>
  </si>
  <si>
    <t>Begrunnelse for sannsynlighet og konsekvens etter nye tiltak</t>
  </si>
  <si>
    <t>Kvalitativ risiko på skala 0 - 10  er summen  av sannsynlighe P og konsekvens K på kvalitativ skala 0 - 5</t>
  </si>
  <si>
    <t>P</t>
  </si>
  <si>
    <t>K</t>
  </si>
  <si>
    <t>Risiko er produkt av sannsynlighet og konsekvens. N og M er kalibreringsfaktorer for sannsyn. og konsekv.</t>
  </si>
  <si>
    <t xml:space="preserve">Beskriv forslag til nye tiltak for å redusere sannlynlighet og/eller konsekvens, og for oppdaging av hendelser. </t>
  </si>
  <si>
    <r>
      <rPr>
        <b/>
        <sz val="11"/>
        <color theme="1"/>
        <rFont val="Calibri"/>
        <family val="2"/>
        <scheme val="minor"/>
      </rPr>
      <t>Hvilke konsekvensaspekter er relevante?</t>
    </r>
    <r>
      <rPr>
        <sz val="11"/>
        <color theme="1"/>
        <rFont val="Calibri"/>
        <family val="2"/>
        <scheme val="minor"/>
      </rPr>
      <t xml:space="preserve"> 
Hva er estimert størrelse på hvert konsekvensaspekt, og på helhetlig konsekvens?</t>
    </r>
  </si>
  <si>
    <t>Kvalitativt risikonivå</t>
  </si>
  <si>
    <t>Kvantitativ risikonivå</t>
  </si>
  <si>
    <t>Kvantitativt risikonivå etter håndtering</t>
  </si>
  <si>
    <t>S</t>
  </si>
  <si>
    <t>V</t>
  </si>
  <si>
    <t>Risiko er produkt av kvantitativ sannsynlighet og konsekvens. Kalibreringsfaktor S er snarest antatte sannsynlighet, og V er verst tenkelige konsekvens</t>
  </si>
  <si>
    <t>Risikoreduksjon</t>
  </si>
  <si>
    <t>R(før)</t>
  </si>
  <si>
    <t>R(etter)</t>
  </si>
  <si>
    <t>R(reduksjon)</t>
  </si>
  <si>
    <t xml:space="preserve">Prosjektmedarbeidere kan kopiere inn data fra prosjektet til sine usikrede håndholdte enheter. Disse kan igjen bli angrepet gjennom skadelige apper som overfører data til trusselaktører. </t>
  </si>
  <si>
    <t>Dårlige holdninger til sikkerhet og uklare policyer. Data kopieres ut til usikrede enheter av bekvemmelighetshensyn.</t>
  </si>
  <si>
    <t>Forskningsresultater eller annen sensitiv informasjon kommer uvedkommende i hende, som betyr brudd på konfidensialitet.</t>
  </si>
  <si>
    <t>Tap av konfidensialitet kan medføre konsekvens i form av økonomiske tap, tap av tillit eller gjennomføringsevne osv.</t>
  </si>
  <si>
    <t xml:space="preserve">Intet spesifikt kan forhindre hendelsen, men det det vil likevel kreve et relativt målrettet angrep fra en trusselaktør. </t>
  </si>
  <si>
    <t>Intet spesifikt kan redusere konsekvensene hvis hendelsen inntreffer.</t>
  </si>
  <si>
    <t xml:space="preserve">Aktiv gjennomgang av Netflowdata kunne påvise overføring til usikre enheter, men gjøres ikke. Deteksjon av datauthenting gjennom apper ville være krevende, og gjøres ikke.
</t>
  </si>
  <si>
    <t xml:space="preserve">Pga. dårlige holdninger til sikkerhet og mangel på tekniske tiltak som kan oppdage eller forhindre hendelsen regnes sannsynligheten som høy (4).
</t>
  </si>
  <si>
    <t xml:space="preserve">Forkskningsdata som kan bli stjålet er ikke personsensitive, men kan ha betydelig kommersiell verdi. I tillegg vil det påvirke partneres tillit til virksomheten negativt. Derfor regnes konsekvensen som betydelig (3).
</t>
  </si>
  <si>
    <t>Organisatoriske: Opprette klare policyer og rutiner for sikker lagring av konfidensiell informasjon i virksomhetens nettverk.
Menneskelige:  Opplæring og bevisstgjøring.
Teknologiske: Deteksjon av datauthenting gjennom Netflow.</t>
  </si>
  <si>
    <t>A</t>
  </si>
  <si>
    <t>C</t>
  </si>
  <si>
    <t>D</t>
  </si>
  <si>
    <t>F</t>
  </si>
  <si>
    <t>G</t>
  </si>
  <si>
    <t>H</t>
  </si>
  <si>
    <t>I</t>
  </si>
  <si>
    <t>J</t>
  </si>
  <si>
    <t>B</t>
  </si>
  <si>
    <t>E</t>
  </si>
  <si>
    <t>Risikovurdering mad kvalitativ/kvantitativ beregning av risiko - Universitetet i Oslo - 2025</t>
  </si>
  <si>
    <t>Some students get an unfair advantage, create cheat sheets, or memorize answers before the exam starts. This reduces university's public view, diploma credibility, prestige, and financial aid (especially if private).</t>
  </si>
  <si>
    <t>The exam tasks are accessed by unauthorized entities. These can be revealed prematurely to students which are going to take that same exam. This is a breach of confidentiality.</t>
  </si>
  <si>
    <t>Many students will likely pass, and some might get caught which would bring consequences to them and the university. Universities get paid for having good students (I think) and research that is done, so profits as well as some reputation is lost. This will also cause some problems with NOKUT.</t>
  </si>
  <si>
    <t>When creating an exam make sure it is accessed from a safe device like a work computer (personal ones might have a spyware and such). Make sure that no-one unauthorized gets to see what you work on.  Make sure that the device is up to date and that you log out once finished.</t>
  </si>
  <si>
    <t>It can be easily done by the hacker, all you have to do is to get in touch through the dark web. Note that not everyone is going to be doing that though. But some that do might resell those exams to other students later.</t>
  </si>
  <si>
    <t>If there isn't one, have a double-authentication in place (with a one time code from your phone which you always carry with you). There might be a spyware so simply wipe the pc (backup all important data carefully). After that, consider changing your password. Logs are a preferable option to see if any exploits were used (in case hacker got it through different means). Make sure to train personell such that phishing or social engineering won't be used (because it could have been). If logs revealed an unauthorized access then contact Expera to report an authentication exploit being used and switch to a more secure one.</t>
  </si>
  <si>
    <t>The training and counter measures are likely to get rid of the vulnerability. It does not get rid of the possibility of there being a smart insider or a strong exploit, so the probability is estimated to be a (2). Unfortunately, I don't think there is much we can do about the exam so the consequence stays a (3).</t>
  </si>
  <si>
    <t>Weak/Vulnerable authentication system, leaked professor or admin authentication credentials, professor working on a new exam from an infected device (spyware), insider job, forgot to log out.</t>
  </si>
  <si>
    <t>The exam grades are accessed by unauthorized entities and tempered with. This is a breach of integrity.</t>
  </si>
  <si>
    <t>Make sure that only authorized examiners are allowed to grade the student's work.</t>
  </si>
  <si>
    <t>Create new passwords, check device for spyware, infrom personel of the incident to raise awareness, assign the task to someone else who can handle it, and only then, create new exam tasks or modify current ones. Fix this problem asap so that the rest of the exams don't follow the same fate. Might as well try to catch the students with various methods. I won't go into that but I do have a lot of great ideas. For example, publish the fake answers to that exam too (as if leaked).</t>
  </si>
  <si>
    <t>Re-evaluate from scratch. If there were logs that show unauthorized access then you might figure out what it was supposed to be. Hopefully there are backups for that kind of stuff, idk.</t>
  </si>
  <si>
    <t>Search for it in the dark web ourselves. Be aware of the rumours (knowledge about this type of stuff usually spreads). Check the access logs (if there are any). The Netflowdata app that I definitely knew about before.</t>
  </si>
  <si>
    <t>Similar to A. Search for it in the dark web ourselves. Be aware of the rumours (knowledge about this type of stuff usually spreads). Check the access logs (if there are any).</t>
  </si>
  <si>
    <t>Similar to A. This directly reduces university's public view, diploma credibility, prestige, and financial aid massively due to NOKUT's rules that must be followed.</t>
  </si>
  <si>
    <t>It can be easily done by the hacker, all you have to do is to get in touch through the dark web. Note that not everyone is going to be doing that though. But some that do might tell others about it.</t>
  </si>
  <si>
    <t>Many students will likely pass and older grades from other exams are also at risk. This will cause huge problems with NOKUT, bigger since all the exam grades of all the students are at risk here, but not their accounts.</t>
  </si>
  <si>
    <t>If there isn't one, have a double-authentication in place (with a one time code from your phone which you always carry with you). There might be a spyware so simply wipe the pc (backup all important data carefully). After that, consider changing your password. Logs are a preferable option to see if any exploits were used (in case hacker got it through different means). Make sure to train personell such that phishing or social engineering won't be used (because it could have been). If logs revealed an unauthorized access then contact Expera to report an authentication exploit being used and switch to a more secure one. Lastly, try to get in touch as one of the students with the hacker and maybe get some information about him, something as simple as a bank account should be sufficient to find out whether there is an insider among us (although not guaranteed). Oh, and lets hope we got backups, though who knows when all of this took place. Eventually consider switching to a different platform other than Expera, we can figure out if it is the problem if the hacker is able to alter exam grades or get exams from all the universities that implement Expera.</t>
  </si>
  <si>
    <t>Gjennom organisatoriske og tekniske tiltak blir sannsynligheten betydelig redusert, og estimeres til å være lav (1). Potensiell konsekvens er ikke påvirket, og forblir derfor betydelig (3).</t>
  </si>
  <si>
    <t>The training and counter measures are likely to get rid of the vulnerability (1). Unfortunately, I don't think there is much we can do about the exam grades so the consequence stays a (4).</t>
  </si>
  <si>
    <t>Similar to A. Weak/Vulnerable authentication system, examiner or admin leaked authentication credentials (could also be from spyware), inside job.</t>
  </si>
  <si>
    <t>Students can get exam questions before the exam start. Those students may want to resell those exam questions or desperate/extreme students want better grades (because all of their future opportunities are at stake). Those exam papers can be purchased from the hacker on dark web.</t>
  </si>
  <si>
    <t>Students can alter their exam grades without authorized access. Desperate/Extreme students want better grades (because all of their future opportunities are at stake). Those exam grades can be tempered with by a hacker on dark web whose services can be purchased.</t>
  </si>
  <si>
    <t>Students that want to postpone or cancel the exam might get in contact with the hacker on dark web and request a DDOS attack before exam start or during exam (to force rework of exam questions or get more time to think).</t>
  </si>
  <si>
    <t>Since it is Expera that is handling all the traffic they can have a bad firewall filtering system / architecture. But DDOS is hard to defend against to be honest.</t>
  </si>
  <si>
    <t>Accessability is at stake here because that is what DDOS does, it is in the name (Distributed Denial of Service).</t>
  </si>
  <si>
    <t>Exams will have to be rescheduled or maybe even canceled (I don't think so though), new exam questions might have to be made or more time given to students (or manually check if they are still editing at the end of time, even though not allowed).</t>
  </si>
  <si>
    <t>There isn't really much that can be done. This is literally all the traffic that you can handle right now.</t>
  </si>
  <si>
    <t>I don't think that this is something that could be suspected in this situation unless it has happened recently before or a dark web page of it was found (and you think it was used).</t>
  </si>
  <si>
    <t>This is an inconvenience at most which only becomes a problem if it isn't solved for an extended period of time.</t>
  </si>
  <si>
    <t>Well, in our scenario it can be easily done by finding the dude from dark web which is also considered more harmless and thus might be more "ok", but less desirable as well. However, it may not have any effect if the system is set up properly.</t>
  </si>
  <si>
    <t>Since this is an option listed by a malicious actor, it is worth looking into and perform a check on how well the load is being handled. Since it is Expera handling all this we might consider switching to a different provider or contact Expera about this. Having an alternative option would be nice as well as implementing DDOS mitigation tools if they haven't been yet.</t>
  </si>
  <si>
    <t>After this only the biggest DDOS attack networks could take the accessability down which is very unlikely to happen at this scale (if ever), so the frequency goes to (1). As for severity, it is questionable since it depends on persistency ranging anywhere from 1 to 3, so a (2) it stays.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</si>
</sst>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E+00"/>
  </numFmts>
  <fonts count="14" x14ac:knownFonts="1">
    <font>
      <sz val="11"/>
      <color theme="1"/>
      <name val="Calibri"/>
      <family val="2"/>
      <scheme val="minor"/>
    </font>
    <font>
      <b/>
      <sz val="11"/>
      <color theme="1"/>
      <name val="Calibri"/>
      <family val="2"/>
      <scheme val="minor"/>
    </font>
    <font>
      <b/>
      <sz val="24"/>
      <color theme="1"/>
      <name val="Calibri"/>
      <family val="2"/>
      <scheme val="minor"/>
    </font>
    <font>
      <b/>
      <sz val="14"/>
      <color theme="1"/>
      <name val="Calibri"/>
      <family val="2"/>
      <scheme val="minor"/>
    </font>
    <font>
      <sz val="14"/>
      <color theme="1"/>
      <name val="Calibri"/>
      <family val="2"/>
      <scheme val="minor"/>
    </font>
    <font>
      <sz val="9"/>
      <color theme="1"/>
      <name val="Trebuchet MS"/>
      <family val="2"/>
    </font>
    <font>
      <sz val="9"/>
      <color rgb="FF000000"/>
      <name val="Trebuchet MS"/>
      <family val="2"/>
    </font>
    <font>
      <sz val="12"/>
      <color theme="1"/>
      <name val="Calibri"/>
      <family val="2"/>
      <scheme val="minor"/>
    </font>
    <font>
      <sz val="12"/>
      <color rgb="FF000000"/>
      <name val="Calibri"/>
      <family val="2"/>
      <scheme val="minor"/>
    </font>
    <font>
      <b/>
      <sz val="12"/>
      <color theme="1"/>
      <name val="Calibri"/>
      <family val="2"/>
      <scheme val="minor"/>
    </font>
    <font>
      <sz val="11"/>
      <color rgb="FF000000"/>
      <name val="Calibri"/>
      <family val="2"/>
    </font>
    <font>
      <sz val="11"/>
      <color rgb="FF000000"/>
      <name val="Calibri"/>
      <family val="2"/>
      <scheme val="minor"/>
    </font>
    <font>
      <b/>
      <sz val="11"/>
      <color theme="0"/>
      <name val="Calibri"/>
      <family val="2"/>
      <scheme val="minor"/>
    </font>
    <font>
      <b/>
      <sz val="16"/>
      <color theme="0"/>
      <name val="Arial"/>
      <family val="2"/>
    </font>
  </fonts>
  <fills count="7">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F0000"/>
        <bgColor indexed="64"/>
      </patternFill>
    </fill>
    <fill>
      <patternFill patternType="solid">
        <fgColor rgb="FFE6F0FA"/>
        <bgColor indexed="64"/>
      </patternFill>
    </fill>
  </fills>
  <borders count="25">
    <border>
      <left/>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top/>
      <bottom style="medium">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6">
    <xf numFmtId="0" fontId="0" fillId="0" borderId="0" xfId="0"/>
    <xf numFmtId="0" fontId="1" fillId="0" borderId="0" xfId="0" applyFont="1"/>
    <xf numFmtId="49" fontId="4" fillId="3" borderId="8" xfId="0" applyNumberFormat="1" applyFont="1" applyFill="1" applyBorder="1" applyAlignment="1" applyProtection="1">
      <alignment horizontal="left" vertical="center" wrapText="1"/>
      <protection locked="0"/>
    </xf>
    <xf numFmtId="0" fontId="0" fillId="0" borderId="0" xfId="0" applyAlignment="1">
      <alignment wrapText="1"/>
    </xf>
    <xf numFmtId="49" fontId="7" fillId="3" borderId="8" xfId="0" applyNumberFormat="1" applyFont="1" applyFill="1" applyBorder="1" applyAlignment="1" applyProtection="1">
      <alignment horizontal="left" vertical="center" wrapText="1"/>
      <protection locked="0"/>
    </xf>
    <xf numFmtId="0" fontId="6" fillId="0" borderId="0" xfId="0" applyFont="1" applyAlignment="1" applyProtection="1">
      <alignment horizontal="center" vertical="center" wrapText="1"/>
      <protection locked="0"/>
    </xf>
    <xf numFmtId="0" fontId="5" fillId="3" borderId="0" xfId="0" applyFont="1" applyFill="1" applyAlignment="1">
      <alignment horizontal="center" vertical="center" wrapText="1"/>
    </xf>
    <xf numFmtId="0" fontId="7" fillId="0" borderId="8" xfId="0" applyFont="1" applyBorder="1" applyAlignment="1">
      <alignment horizontal="left" vertical="top" wrapText="1"/>
    </xf>
    <xf numFmtId="0" fontId="7" fillId="0" borderId="8" xfId="0" applyFont="1" applyBorder="1" applyAlignment="1">
      <alignment vertical="top" wrapText="1"/>
    </xf>
    <xf numFmtId="0" fontId="7" fillId="0" borderId="8" xfId="0" applyFont="1" applyBorder="1" applyAlignment="1" applyProtection="1">
      <alignment horizontal="left" vertical="top" wrapText="1"/>
      <protection locked="0"/>
    </xf>
    <xf numFmtId="0" fontId="7" fillId="0" borderId="8" xfId="0" applyFont="1" applyBorder="1" applyAlignment="1" applyProtection="1">
      <alignment horizontal="center" vertical="center" wrapText="1"/>
      <protection locked="0"/>
    </xf>
    <xf numFmtId="0" fontId="8" fillId="0" borderId="8" xfId="0" applyFont="1" applyBorder="1" applyAlignment="1" applyProtection="1">
      <alignment horizontal="left" vertical="top" wrapText="1"/>
      <protection locked="0"/>
    </xf>
    <xf numFmtId="0" fontId="8" fillId="0" borderId="8" xfId="0" applyFont="1" applyBorder="1" applyAlignment="1" applyProtection="1">
      <alignment horizontal="center" vertical="center" wrapText="1"/>
      <protection locked="0"/>
    </xf>
    <xf numFmtId="0" fontId="8" fillId="0" borderId="8" xfId="0" applyFont="1" applyBorder="1" applyAlignment="1">
      <alignment vertical="top" wrapText="1"/>
    </xf>
    <xf numFmtId="0" fontId="9" fillId="2" borderId="5" xfId="0" applyFont="1" applyFill="1" applyBorder="1" applyAlignment="1">
      <alignment horizontal="center" vertical="center"/>
    </xf>
    <xf numFmtId="0" fontId="9" fillId="2" borderId="8" xfId="0" applyFont="1" applyFill="1" applyBorder="1" applyAlignment="1">
      <alignment horizontal="center" vertical="center"/>
    </xf>
    <xf numFmtId="1" fontId="7" fillId="3" borderId="8" xfId="0" applyNumberFormat="1" applyFont="1" applyFill="1" applyBorder="1" applyAlignment="1">
      <alignment horizontal="center" vertical="center" wrapText="1"/>
    </xf>
    <xf numFmtId="0" fontId="3" fillId="4" borderId="8" xfId="0" applyFont="1" applyFill="1" applyBorder="1" applyAlignment="1">
      <alignment horizontal="left" vertical="center" indent="1"/>
    </xf>
    <xf numFmtId="0" fontId="3" fillId="4" borderId="8" xfId="0" applyFont="1" applyFill="1" applyBorder="1" applyAlignment="1">
      <alignment horizontal="center" vertical="center"/>
    </xf>
    <xf numFmtId="0" fontId="0" fillId="0" borderId="8" xfId="0" applyBorder="1"/>
    <xf numFmtId="0" fontId="0" fillId="0" borderId="8" xfId="0" applyBorder="1" applyAlignment="1">
      <alignment wrapText="1"/>
    </xf>
    <xf numFmtId="0" fontId="3" fillId="2" borderId="6" xfId="0" applyFont="1" applyFill="1" applyBorder="1" applyAlignment="1">
      <alignment horizontal="center" vertical="center" wrapText="1"/>
    </xf>
    <xf numFmtId="0" fontId="11" fillId="0" borderId="0" xfId="0" applyFont="1" applyAlignment="1">
      <alignment vertical="top" wrapText="1"/>
    </xf>
    <xf numFmtId="0" fontId="7" fillId="0" borderId="5" xfId="0" applyFont="1" applyBorder="1" applyAlignment="1" applyProtection="1">
      <alignment horizontal="left" vertical="top" wrapText="1"/>
      <protection locked="0"/>
    </xf>
    <xf numFmtId="0" fontId="11" fillId="0" borderId="8" xfId="0" applyFont="1" applyBorder="1" applyAlignment="1">
      <alignment vertical="top" wrapText="1"/>
    </xf>
    <xf numFmtId="0" fontId="10" fillId="0" borderId="8" xfId="0" applyFont="1" applyBorder="1" applyAlignment="1">
      <alignment horizontal="lef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7" fillId="0" borderId="1" xfId="0" applyFont="1" applyBorder="1" applyAlignment="1" applyProtection="1">
      <alignment horizontal="center" vertical="center" wrapText="1"/>
      <protection locked="0"/>
    </xf>
    <xf numFmtId="1" fontId="7" fillId="3" borderId="10" xfId="0" applyNumberFormat="1" applyFont="1" applyFill="1" applyBorder="1" applyAlignment="1">
      <alignment horizontal="center" vertical="center" wrapText="1"/>
    </xf>
    <xf numFmtId="0" fontId="9" fillId="2" borderId="7" xfId="0" applyFont="1" applyFill="1" applyBorder="1" applyAlignment="1">
      <alignment horizontal="center" vertical="center"/>
    </xf>
    <xf numFmtId="0" fontId="9" fillId="2" borderId="13" xfId="0" applyFont="1" applyFill="1" applyBorder="1" applyAlignment="1">
      <alignment horizontal="center" vertical="center" textRotation="90"/>
    </xf>
    <xf numFmtId="0" fontId="0" fillId="0" borderId="1" xfId="0" applyBorder="1" applyAlignment="1" applyProtection="1">
      <alignment horizontal="left" vertical="top" wrapText="1"/>
      <protection locked="0"/>
    </xf>
    <xf numFmtId="164" fontId="7" fillId="3" borderId="10" xfId="0" applyNumberFormat="1" applyFont="1" applyFill="1" applyBorder="1" applyAlignment="1">
      <alignment horizontal="center" vertical="center" wrapText="1"/>
    </xf>
    <xf numFmtId="164" fontId="7" fillId="3" borderId="8" xfId="0" applyNumberFormat="1" applyFont="1" applyFill="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lignment horizontal="center" vertical="center"/>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9" xfId="0" applyFont="1" applyFill="1" applyBorder="1" applyAlignment="1">
      <alignment horizontal="center" vertical="center" wrapText="1"/>
    </xf>
    <xf numFmtId="164" fontId="7" fillId="3" borderId="6" xfId="0" applyNumberFormat="1" applyFont="1" applyFill="1" applyBorder="1" applyAlignment="1">
      <alignment horizontal="center" vertical="center" wrapText="1"/>
    </xf>
    <xf numFmtId="0" fontId="0" fillId="0" borderId="8" xfId="0" applyBorder="1" applyAlignment="1">
      <alignment horizontal="center" vertical="top"/>
    </xf>
    <xf numFmtId="0" fontId="0" fillId="6" borderId="10" xfId="0" applyFill="1" applyBorder="1" applyAlignment="1">
      <alignment horizontal="left" vertical="top" wrapText="1"/>
    </xf>
    <xf numFmtId="164" fontId="7" fillId="6" borderId="10" xfId="0" applyNumberFormat="1" applyFont="1" applyFill="1" applyBorder="1" applyAlignment="1">
      <alignment horizontal="center" vertical="center" wrapText="1"/>
    </xf>
    <xf numFmtId="11" fontId="7" fillId="6" borderId="10" xfId="0" applyNumberFormat="1" applyFont="1" applyFill="1" applyBorder="1" applyAlignment="1">
      <alignment horizontal="center" vertical="center" wrapText="1"/>
    </xf>
    <xf numFmtId="165" fontId="7" fillId="6" borderId="10" xfId="0" applyNumberFormat="1" applyFont="1" applyFill="1" applyBorder="1" applyAlignment="1">
      <alignment horizontal="center" vertical="center" wrapText="1"/>
    </xf>
    <xf numFmtId="0" fontId="0" fillId="4" borderId="0" xfId="0" applyFill="1"/>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8" xfId="0" applyFont="1" applyFill="1" applyBorder="1" applyAlignment="1">
      <alignment horizontal="center"/>
    </xf>
    <xf numFmtId="0" fontId="0" fillId="0" borderId="8" xfId="0" applyBorder="1"/>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1" fillId="6" borderId="2" xfId="0" applyFont="1" applyFill="1" applyBorder="1" applyAlignment="1">
      <alignment horizontal="center" vertical="top" wrapText="1"/>
    </xf>
    <xf numFmtId="0" fontId="1" fillId="6" borderId="3" xfId="0" applyFont="1" applyFill="1" applyBorder="1" applyAlignment="1">
      <alignment horizontal="center" vertical="top" wrapText="1"/>
    </xf>
    <xf numFmtId="0" fontId="1" fillId="6" borderId="4" xfId="0" applyFont="1" applyFill="1" applyBorder="1" applyAlignment="1">
      <alignment horizontal="center" vertical="top" wrapText="1"/>
    </xf>
    <xf numFmtId="0" fontId="1" fillId="6" borderId="21" xfId="0" applyFont="1" applyFill="1" applyBorder="1" applyAlignment="1">
      <alignment horizontal="center" vertical="top" wrapText="1"/>
    </xf>
    <xf numFmtId="0" fontId="1" fillId="6" borderId="0" xfId="0" applyFont="1" applyFill="1" applyAlignment="1">
      <alignment horizontal="center" vertical="top" wrapText="1"/>
    </xf>
    <xf numFmtId="0" fontId="1" fillId="6" borderId="20" xfId="0" applyFont="1" applyFill="1" applyBorder="1" applyAlignment="1">
      <alignment horizontal="center" vertical="top" wrapText="1"/>
    </xf>
    <xf numFmtId="0" fontId="1" fillId="6" borderId="7" xfId="0" applyFont="1" applyFill="1" applyBorder="1" applyAlignment="1">
      <alignment horizontal="center" vertical="top" wrapText="1"/>
    </xf>
    <xf numFmtId="0" fontId="1" fillId="6" borderId="23" xfId="0" applyFont="1" applyFill="1" applyBorder="1" applyAlignment="1">
      <alignment horizontal="center" vertical="top" wrapText="1"/>
    </xf>
    <xf numFmtId="0" fontId="1" fillId="6" borderId="24" xfId="0" applyFont="1" applyFill="1" applyBorder="1" applyAlignment="1">
      <alignment horizontal="center" vertical="top" wrapText="1"/>
    </xf>
    <xf numFmtId="0" fontId="1" fillId="4" borderId="2" xfId="0" applyFont="1" applyFill="1" applyBorder="1" applyAlignment="1">
      <alignment horizontal="center" vertical="top" wrapText="1"/>
    </xf>
    <xf numFmtId="0" fontId="1" fillId="4" borderId="3" xfId="0" applyFont="1" applyFill="1" applyBorder="1" applyAlignment="1">
      <alignment horizontal="center" vertical="top" wrapText="1"/>
    </xf>
    <xf numFmtId="0" fontId="1" fillId="4" borderId="4" xfId="0" applyFont="1" applyFill="1" applyBorder="1" applyAlignment="1">
      <alignment horizontal="center" vertical="top" wrapText="1"/>
    </xf>
    <xf numFmtId="0" fontId="1" fillId="4" borderId="21" xfId="0" applyFont="1" applyFill="1" applyBorder="1" applyAlignment="1">
      <alignment horizontal="center" vertical="top" wrapText="1"/>
    </xf>
    <xf numFmtId="0" fontId="1" fillId="4" borderId="0" xfId="0" applyFont="1" applyFill="1" applyAlignment="1">
      <alignment horizontal="center" vertical="top" wrapText="1"/>
    </xf>
    <xf numFmtId="0" fontId="1" fillId="4" borderId="20" xfId="0" applyFont="1" applyFill="1" applyBorder="1" applyAlignment="1">
      <alignment horizontal="center" vertical="top" wrapText="1"/>
    </xf>
    <xf numFmtId="0" fontId="1" fillId="4" borderId="7" xfId="0" applyFont="1" applyFill="1" applyBorder="1" applyAlignment="1">
      <alignment horizontal="center" vertical="top" wrapText="1"/>
    </xf>
    <xf numFmtId="0" fontId="1" fillId="4" borderId="23" xfId="0" applyFont="1" applyFill="1" applyBorder="1" applyAlignment="1">
      <alignment horizontal="center" vertical="top" wrapText="1"/>
    </xf>
    <xf numFmtId="0" fontId="1" fillId="4" borderId="24" xfId="0" applyFont="1" applyFill="1" applyBorder="1" applyAlignment="1">
      <alignment horizontal="center" vertical="top" wrapText="1"/>
    </xf>
    <xf numFmtId="0" fontId="3" fillId="2" borderId="5"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0" fillId="0" borderId="8" xfId="0" applyBorder="1" applyAlignment="1">
      <alignment horizontal="center" vertical="top"/>
    </xf>
    <xf numFmtId="0" fontId="1" fillId="6" borderId="9" xfId="0" applyFont="1" applyFill="1" applyBorder="1" applyAlignment="1">
      <alignment horizontal="left" vertical="top" wrapText="1"/>
    </xf>
    <xf numFmtId="0" fontId="1" fillId="6" borderId="1" xfId="0" applyFont="1" applyFill="1" applyBorder="1" applyAlignment="1">
      <alignment horizontal="left" vertical="top" wrapText="1"/>
    </xf>
    <xf numFmtId="0" fontId="0" fillId="6" borderId="3" xfId="0" applyFill="1" applyBorder="1" applyAlignment="1">
      <alignment horizontal="center" vertical="top"/>
    </xf>
    <xf numFmtId="0" fontId="0" fillId="6" borderId="4" xfId="0" applyFill="1" applyBorder="1" applyAlignment="1">
      <alignment horizontal="center" vertical="top"/>
    </xf>
    <xf numFmtId="0" fontId="9" fillId="2" borderId="17" xfId="0" applyFont="1" applyFill="1" applyBorder="1" applyAlignment="1">
      <alignment horizontal="center" vertical="center" textRotation="90"/>
    </xf>
    <xf numFmtId="0" fontId="9" fillId="2" borderId="18" xfId="0" applyFont="1" applyFill="1" applyBorder="1" applyAlignment="1">
      <alignment horizontal="center" vertical="center" textRotation="90"/>
    </xf>
    <xf numFmtId="0" fontId="0" fillId="6" borderId="9" xfId="0" applyFill="1" applyBorder="1" applyAlignment="1">
      <alignment horizontal="left" vertical="top" wrapText="1"/>
    </xf>
    <xf numFmtId="0" fontId="0" fillId="6" borderId="1" xfId="0" applyFill="1" applyBorder="1" applyAlignment="1">
      <alignment horizontal="left" vertical="top" wrapText="1"/>
    </xf>
    <xf numFmtId="0" fontId="13" fillId="5" borderId="19" xfId="0" applyFont="1" applyFill="1" applyBorder="1" applyAlignment="1">
      <alignment horizontal="center"/>
    </xf>
    <xf numFmtId="0" fontId="12" fillId="5" borderId="19" xfId="0" applyFont="1" applyFill="1" applyBorder="1" applyAlignment="1">
      <alignment horizontal="center"/>
    </xf>
  </cellXfs>
  <cellStyles count="1">
    <cellStyle name="Normal" xfId="0" builtinId="0"/>
  </cellStyles>
  <dxfs count="35">
    <dxf>
      <font>
        <color rgb="FFE6F0FA"/>
      </font>
    </dxf>
    <dxf>
      <fill>
        <patternFill>
          <bgColor theme="0"/>
        </patternFill>
      </fill>
    </dxf>
    <dxf>
      <fill>
        <patternFill>
          <bgColor rgb="FF00B050"/>
        </patternFill>
      </fill>
    </dxf>
    <dxf>
      <fill>
        <patternFill>
          <bgColor rgb="FFFFFF00"/>
        </patternFill>
      </fill>
    </dxf>
    <dxf>
      <fill>
        <patternFill>
          <bgColor rgb="FFFF0000"/>
        </patternFill>
      </fill>
    </dxf>
    <dxf>
      <font>
        <b/>
        <i val="0"/>
        <strike val="0"/>
        <color theme="0"/>
      </font>
      <fill>
        <patternFill>
          <bgColor theme="0"/>
        </patternFill>
      </fill>
    </dxf>
    <dxf>
      <font>
        <b/>
        <i val="0"/>
        <color theme="1"/>
      </font>
      <fill>
        <patternFill>
          <bgColor rgb="FFFFFA37"/>
        </patternFill>
      </fill>
    </dxf>
    <dxf>
      <font>
        <b/>
        <i val="0"/>
        <color theme="1"/>
      </font>
      <fill>
        <patternFill>
          <bgColor rgb="FFF3FFB9"/>
        </patternFill>
      </fill>
    </dxf>
    <dxf>
      <font>
        <b/>
        <i val="0"/>
      </font>
      <fill>
        <patternFill>
          <bgColor rgb="FFE1FFE1"/>
        </patternFill>
      </fill>
    </dxf>
    <dxf>
      <font>
        <b/>
        <i val="0"/>
      </font>
      <fill>
        <patternFill>
          <bgColor rgb="FFF3FFF3"/>
        </patternFill>
      </fill>
    </dxf>
    <dxf>
      <font>
        <b/>
        <i val="0"/>
        <color theme="0"/>
      </font>
      <fill>
        <patternFill>
          <bgColor rgb="FFFF9933"/>
        </patternFill>
      </fill>
    </dxf>
    <dxf>
      <font>
        <b/>
        <i val="0"/>
        <color theme="0"/>
      </font>
      <fill>
        <patternFill>
          <bgColor rgb="FFFF3300"/>
        </patternFill>
      </fill>
    </dxf>
    <dxf>
      <font>
        <b/>
        <i val="0"/>
        <color theme="0"/>
      </font>
      <fill>
        <patternFill>
          <bgColor rgb="FFCC0000"/>
        </patternFill>
      </fill>
    </dxf>
    <dxf>
      <font>
        <b/>
        <i val="0"/>
        <color theme="0"/>
      </font>
      <fill>
        <patternFill>
          <bgColor theme="1"/>
        </patternFill>
      </fill>
    </dxf>
    <dxf>
      <fill>
        <patternFill>
          <bgColor theme="0"/>
        </patternFill>
      </fill>
    </dxf>
    <dxf>
      <fill>
        <patternFill>
          <bgColor rgb="FF00B050"/>
        </patternFill>
      </fill>
    </dxf>
    <dxf>
      <fill>
        <patternFill>
          <bgColor rgb="FFFFFF00"/>
        </patternFill>
      </fill>
    </dxf>
    <dxf>
      <fill>
        <patternFill>
          <bgColor rgb="FFFF0000"/>
        </patternFill>
      </fill>
    </dxf>
    <dxf>
      <font>
        <color rgb="FFE6F0FA"/>
      </font>
    </dxf>
    <dxf>
      <fill>
        <patternFill>
          <bgColor rgb="FFFF0000"/>
        </patternFill>
      </fill>
    </dxf>
    <dxf>
      <fill>
        <patternFill>
          <bgColor rgb="FF00B050"/>
        </patternFill>
      </fill>
    </dxf>
    <dxf>
      <fill>
        <patternFill>
          <bgColor rgb="FFFFFF00"/>
        </patternFill>
      </fill>
    </dxf>
    <dxf>
      <fill>
        <patternFill>
          <bgColor theme="0"/>
        </patternFill>
      </fill>
    </dxf>
    <dxf>
      <fill>
        <patternFill>
          <bgColor rgb="FFFF0000"/>
        </patternFill>
      </fill>
    </dxf>
    <dxf>
      <fill>
        <patternFill>
          <bgColor rgb="FFFFFF00"/>
        </patternFill>
      </fill>
    </dxf>
    <dxf>
      <fill>
        <patternFill>
          <bgColor rgb="FF00B050"/>
        </patternFill>
      </fill>
    </dxf>
    <dxf>
      <font>
        <b/>
        <i val="0"/>
        <color theme="0"/>
      </font>
      <fill>
        <patternFill>
          <bgColor rgb="FFCC0000"/>
        </patternFill>
      </fill>
    </dxf>
    <dxf>
      <font>
        <b/>
        <i val="0"/>
      </font>
      <fill>
        <patternFill>
          <bgColor rgb="FFF3FFF3"/>
        </patternFill>
      </fill>
    </dxf>
    <dxf>
      <font>
        <b/>
        <i val="0"/>
        <color theme="0"/>
      </font>
      <fill>
        <patternFill>
          <bgColor theme="1"/>
        </patternFill>
      </fill>
    </dxf>
    <dxf>
      <font>
        <b/>
        <i val="0"/>
        <strike val="0"/>
        <color theme="0"/>
      </font>
      <fill>
        <patternFill>
          <bgColor theme="0"/>
        </patternFill>
      </fill>
    </dxf>
    <dxf>
      <font>
        <b/>
        <i val="0"/>
        <color theme="1"/>
      </font>
      <fill>
        <patternFill>
          <bgColor rgb="FFF3FFB9"/>
        </patternFill>
      </fill>
    </dxf>
    <dxf>
      <font>
        <b/>
        <i val="0"/>
        <color theme="1"/>
      </font>
      <fill>
        <patternFill>
          <bgColor rgb="FFFFFA37"/>
        </patternFill>
      </fill>
    </dxf>
    <dxf>
      <font>
        <b/>
        <i val="0"/>
        <color theme="0"/>
      </font>
      <fill>
        <patternFill>
          <bgColor rgb="FFFF9933"/>
        </patternFill>
      </fill>
    </dxf>
    <dxf>
      <font>
        <b/>
        <i val="0"/>
        <color theme="0"/>
      </font>
      <fill>
        <patternFill>
          <bgColor rgb="FFFF3300"/>
        </patternFill>
      </fill>
    </dxf>
    <dxf>
      <font>
        <b/>
        <i val="0"/>
      </font>
      <fill>
        <patternFill>
          <bgColor rgb="FFE1FFE1"/>
        </patternFill>
      </fill>
    </dxf>
  </dxfs>
  <tableStyles count="0" defaultTableStyle="TableStyleMedium2" defaultPivotStyle="PivotStyleLight16"/>
  <colors>
    <mruColors>
      <color rgb="FFF3FFF3"/>
      <color rgb="FFE1FFE1"/>
      <color rgb="FFEFFFEF"/>
      <color rgb="FFD9FFD9"/>
      <color rgb="FFCC0000"/>
      <color rgb="FFE6F0FA"/>
      <color rgb="FFFF3300"/>
      <color rgb="FFFF9933"/>
      <color rgb="FFFFFA37"/>
      <color rgb="FFFCF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activeCell="B36" sqref="B36"/>
    </sheetView>
  </sheetViews>
  <sheetFormatPr defaultColWidth="8.85546875" defaultRowHeight="15" x14ac:dyDescent="0.25"/>
  <cols>
    <col min="1" max="1" width="30.5703125" customWidth="1"/>
    <col min="2" max="2" width="45.28515625" style="3" customWidth="1"/>
    <col min="3" max="3" width="26.7109375" customWidth="1"/>
  </cols>
  <sheetData>
    <row r="1" spans="1:2" ht="31.5" x14ac:dyDescent="0.25">
      <c r="A1" s="48" t="s">
        <v>19</v>
      </c>
      <c r="B1" s="49"/>
    </row>
    <row r="2" spans="1:2" ht="18.75" x14ac:dyDescent="0.25">
      <c r="A2" s="17" t="s">
        <v>11</v>
      </c>
      <c r="B2" s="2"/>
    </row>
    <row r="3" spans="1:2" ht="18.75" x14ac:dyDescent="0.25">
      <c r="A3" s="17" t="s">
        <v>13</v>
      </c>
      <c r="B3" s="2"/>
    </row>
    <row r="4" spans="1:2" ht="18.75" x14ac:dyDescent="0.25">
      <c r="A4" s="17" t="s">
        <v>12</v>
      </c>
      <c r="B4" s="2"/>
    </row>
    <row r="5" spans="1:2" ht="18.75" x14ac:dyDescent="0.25">
      <c r="A5" s="17" t="s">
        <v>1</v>
      </c>
      <c r="B5" s="2"/>
    </row>
    <row r="6" spans="1:2" ht="18.75" x14ac:dyDescent="0.25">
      <c r="A6" s="17" t="s">
        <v>2</v>
      </c>
      <c r="B6" s="2"/>
    </row>
    <row r="7" spans="1:2" ht="18.75" x14ac:dyDescent="0.25">
      <c r="A7" s="17" t="s">
        <v>3</v>
      </c>
      <c r="B7" s="2"/>
    </row>
    <row r="8" spans="1:2" ht="18.75" x14ac:dyDescent="0.25">
      <c r="A8" s="17" t="s">
        <v>4</v>
      </c>
      <c r="B8" s="2"/>
    </row>
    <row r="9" spans="1:2" ht="18.75" x14ac:dyDescent="0.25">
      <c r="A9" s="17" t="s">
        <v>5</v>
      </c>
      <c r="B9" s="4"/>
    </row>
    <row r="10" spans="1:2" ht="18.75" x14ac:dyDescent="0.25">
      <c r="A10" s="17" t="s">
        <v>6</v>
      </c>
      <c r="B10" s="2"/>
    </row>
    <row r="11" spans="1:2" ht="18.75" x14ac:dyDescent="0.25">
      <c r="A11" s="17" t="s">
        <v>7</v>
      </c>
      <c r="B11" s="2"/>
    </row>
    <row r="12" spans="1:2" ht="18.75" x14ac:dyDescent="0.25">
      <c r="A12" s="17" t="s">
        <v>8</v>
      </c>
      <c r="B12" s="2"/>
    </row>
    <row r="13" spans="1:2" ht="18.75" x14ac:dyDescent="0.25">
      <c r="A13" s="17" t="s">
        <v>9</v>
      </c>
      <c r="B13" s="2"/>
    </row>
    <row r="14" spans="1:2" ht="18.75" x14ac:dyDescent="0.25">
      <c r="A14" s="17" t="s">
        <v>10</v>
      </c>
      <c r="B14" s="2"/>
    </row>
  </sheetData>
  <mergeCells count="1">
    <mergeCell ref="A1:B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4"/>
  <sheetViews>
    <sheetView workbookViewId="0">
      <selection sqref="A1:C23"/>
    </sheetView>
  </sheetViews>
  <sheetFormatPr defaultColWidth="11.140625" defaultRowHeight="15" x14ac:dyDescent="0.25"/>
  <cols>
    <col min="1" max="3" width="23.42578125" customWidth="1"/>
  </cols>
  <sheetData>
    <row r="1" spans="1:3" ht="31.5" x14ac:dyDescent="0.5">
      <c r="A1" s="50" t="s">
        <v>15</v>
      </c>
      <c r="B1" s="50"/>
      <c r="C1" s="51"/>
    </row>
    <row r="2" spans="1:3" ht="18.75" x14ac:dyDescent="0.25">
      <c r="A2" s="17" t="s">
        <v>16</v>
      </c>
      <c r="B2" s="17" t="s">
        <v>17</v>
      </c>
      <c r="C2" s="18" t="s">
        <v>18</v>
      </c>
    </row>
    <row r="3" spans="1:3" ht="18.75" x14ac:dyDescent="0.25">
      <c r="A3" s="2"/>
      <c r="B3" s="2"/>
      <c r="C3" s="19"/>
    </row>
    <row r="4" spans="1:3" ht="18.75" x14ac:dyDescent="0.25">
      <c r="A4" s="2"/>
      <c r="B4" s="2"/>
      <c r="C4" s="19"/>
    </row>
    <row r="5" spans="1:3" ht="18.75" x14ac:dyDescent="0.25">
      <c r="A5" s="2"/>
      <c r="B5" s="2"/>
      <c r="C5" s="19"/>
    </row>
    <row r="6" spans="1:3" ht="18.75" x14ac:dyDescent="0.25">
      <c r="A6" s="2"/>
      <c r="B6" s="2"/>
      <c r="C6" s="19"/>
    </row>
    <row r="7" spans="1:3" ht="18.75" x14ac:dyDescent="0.25">
      <c r="A7" s="2"/>
      <c r="B7" s="2"/>
      <c r="C7" s="19"/>
    </row>
    <row r="8" spans="1:3" ht="18.75" x14ac:dyDescent="0.25">
      <c r="A8" s="2"/>
      <c r="B8" s="2"/>
      <c r="C8" s="19"/>
    </row>
    <row r="9" spans="1:3" ht="18.75" x14ac:dyDescent="0.25">
      <c r="A9" s="2"/>
      <c r="B9" s="4"/>
      <c r="C9" s="19"/>
    </row>
    <row r="10" spans="1:3" ht="18.75" x14ac:dyDescent="0.25">
      <c r="A10" s="2"/>
      <c r="B10" s="2"/>
      <c r="C10" s="19"/>
    </row>
    <row r="11" spans="1:3" ht="18.75" x14ac:dyDescent="0.25">
      <c r="A11" s="2"/>
      <c r="B11" s="2"/>
      <c r="C11" s="19"/>
    </row>
    <row r="12" spans="1:3" ht="18.75" x14ac:dyDescent="0.25">
      <c r="A12" s="2"/>
      <c r="B12" s="2"/>
      <c r="C12" s="19"/>
    </row>
    <row r="13" spans="1:3" ht="18.75" x14ac:dyDescent="0.25">
      <c r="A13" s="2"/>
      <c r="B13" s="2"/>
      <c r="C13" s="19"/>
    </row>
    <row r="14" spans="1:3" ht="18.75" x14ac:dyDescent="0.25">
      <c r="A14" s="2"/>
      <c r="B14" s="2"/>
      <c r="C14" s="19"/>
    </row>
    <row r="15" spans="1:3" x14ac:dyDescent="0.25">
      <c r="A15" s="19"/>
      <c r="B15" s="20"/>
      <c r="C15" s="19"/>
    </row>
    <row r="16" spans="1:3" x14ac:dyDescent="0.25">
      <c r="A16" s="19"/>
      <c r="B16" s="20"/>
      <c r="C16" s="19"/>
    </row>
    <row r="17" spans="1:3" x14ac:dyDescent="0.25">
      <c r="A17" s="19"/>
      <c r="B17" s="20"/>
      <c r="C17" s="19"/>
    </row>
    <row r="18" spans="1:3" x14ac:dyDescent="0.25">
      <c r="A18" s="19"/>
      <c r="B18" s="20"/>
      <c r="C18" s="19"/>
    </row>
    <row r="19" spans="1:3" x14ac:dyDescent="0.25">
      <c r="A19" s="19"/>
      <c r="B19" s="20"/>
      <c r="C19" s="19"/>
    </row>
    <row r="20" spans="1:3" x14ac:dyDescent="0.25">
      <c r="A20" s="19"/>
      <c r="B20" s="20"/>
      <c r="C20" s="19"/>
    </row>
    <row r="21" spans="1:3" x14ac:dyDescent="0.25">
      <c r="A21" s="19"/>
      <c r="B21" s="20"/>
      <c r="C21" s="19"/>
    </row>
    <row r="22" spans="1:3" x14ac:dyDescent="0.25">
      <c r="A22" s="19"/>
      <c r="B22" s="20"/>
      <c r="C22" s="19"/>
    </row>
    <row r="23" spans="1:3" x14ac:dyDescent="0.25">
      <c r="A23" s="19"/>
      <c r="B23" s="20"/>
      <c r="C23" s="19"/>
    </row>
    <row r="24" spans="1:3" x14ac:dyDescent="0.25">
      <c r="B24" s="3"/>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Y70"/>
  <sheetViews>
    <sheetView tabSelected="1" topLeftCell="I1" zoomScaleNormal="100" workbookViewId="0">
      <selection activeCell="B1" sqref="B1:H1"/>
    </sheetView>
  </sheetViews>
  <sheetFormatPr defaultColWidth="9.140625" defaultRowHeight="15" x14ac:dyDescent="0.25"/>
  <cols>
    <col min="1" max="1" width="5.28515625" customWidth="1"/>
    <col min="2" max="5" width="30.7109375" customWidth="1"/>
    <col min="6" max="7" width="24.7109375" customWidth="1"/>
    <col min="8" max="10" width="25.28515625" customWidth="1"/>
    <col min="11" max="11" width="5.85546875" customWidth="1"/>
    <col min="12" max="12" width="6.7109375" customWidth="1"/>
    <col min="13" max="13" width="8.28515625" style="1" customWidth="1"/>
    <col min="14" max="14" width="10.140625" style="1" customWidth="1"/>
    <col min="15" max="15" width="10" style="1" customWidth="1"/>
    <col min="16" max="16" width="9.7109375" style="1" customWidth="1"/>
    <col min="17" max="17" width="53.5703125" customWidth="1"/>
    <col min="18" max="18" width="39.5703125" customWidth="1"/>
    <col min="19" max="19" width="5.5703125" customWidth="1"/>
    <col min="20" max="20" width="6" customWidth="1"/>
    <col min="21" max="21" width="11.28515625" customWidth="1"/>
    <col min="23" max="23" width="10.7109375" customWidth="1"/>
    <col min="24" max="24" width="11.28515625" customWidth="1"/>
    <col min="25" max="25" width="28.140625" customWidth="1"/>
  </cols>
  <sheetData>
    <row r="1" spans="1:25" ht="32.450000000000003" customHeight="1" thickBot="1" x14ac:dyDescent="0.35">
      <c r="B1" s="84" t="s">
        <v>77</v>
      </c>
      <c r="C1" s="85"/>
      <c r="D1" s="85"/>
      <c r="E1" s="85"/>
      <c r="F1" s="85"/>
      <c r="G1" s="85"/>
      <c r="H1" s="85"/>
    </row>
    <row r="2" spans="1:25" ht="40.15" customHeight="1" x14ac:dyDescent="0.25">
      <c r="A2" s="39" t="s">
        <v>0</v>
      </c>
      <c r="B2" s="37" t="s">
        <v>23</v>
      </c>
      <c r="C2" s="37" t="s">
        <v>20</v>
      </c>
      <c r="D2" s="37" t="s">
        <v>26</v>
      </c>
      <c r="E2" s="37" t="s">
        <v>21</v>
      </c>
      <c r="F2" s="37" t="s">
        <v>34</v>
      </c>
      <c r="G2" s="37" t="s">
        <v>35</v>
      </c>
      <c r="H2" s="37" t="s">
        <v>28</v>
      </c>
      <c r="I2" s="37" t="s">
        <v>31</v>
      </c>
      <c r="J2" s="37" t="s">
        <v>33</v>
      </c>
      <c r="K2" s="52" t="s">
        <v>47</v>
      </c>
      <c r="L2" s="53"/>
      <c r="M2" s="54"/>
      <c r="N2" s="52" t="s">
        <v>48</v>
      </c>
      <c r="O2" s="53"/>
      <c r="P2" s="54"/>
      <c r="Q2" s="38" t="s">
        <v>27</v>
      </c>
      <c r="R2" s="37" t="s">
        <v>40</v>
      </c>
      <c r="S2" s="52" t="s">
        <v>25</v>
      </c>
      <c r="T2" s="53"/>
      <c r="U2" s="54"/>
      <c r="V2" s="52" t="s">
        <v>49</v>
      </c>
      <c r="W2" s="53"/>
      <c r="X2" s="54"/>
      <c r="Y2" s="37" t="s">
        <v>53</v>
      </c>
    </row>
    <row r="3" spans="1:25" ht="88.9" hidden="1" customHeight="1" x14ac:dyDescent="0.25">
      <c r="A3" s="80" t="s">
        <v>5</v>
      </c>
      <c r="B3" s="82" t="s">
        <v>24</v>
      </c>
      <c r="C3" s="76" t="s">
        <v>29</v>
      </c>
      <c r="D3" s="82" t="s">
        <v>22</v>
      </c>
      <c r="E3" s="76" t="s">
        <v>30</v>
      </c>
      <c r="F3" s="76" t="s">
        <v>36</v>
      </c>
      <c r="G3" s="76" t="s">
        <v>37</v>
      </c>
      <c r="H3" s="82" t="s">
        <v>39</v>
      </c>
      <c r="I3" s="82" t="s">
        <v>32</v>
      </c>
      <c r="J3" s="82" t="s">
        <v>46</v>
      </c>
      <c r="K3" s="55" t="s">
        <v>41</v>
      </c>
      <c r="L3" s="56"/>
      <c r="M3" s="57"/>
      <c r="N3" s="55" t="s">
        <v>52</v>
      </c>
      <c r="O3" s="78"/>
      <c r="P3" s="79"/>
      <c r="Q3" s="76" t="s">
        <v>45</v>
      </c>
      <c r="R3" s="76" t="s">
        <v>38</v>
      </c>
      <c r="S3" s="64" t="s">
        <v>41</v>
      </c>
      <c r="T3" s="65"/>
      <c r="U3" s="66"/>
      <c r="V3" s="64" t="s">
        <v>44</v>
      </c>
      <c r="W3" s="65"/>
      <c r="X3" s="66"/>
      <c r="Y3" s="47"/>
    </row>
    <row r="4" spans="1:25" ht="16.899999999999999" customHeight="1" x14ac:dyDescent="0.25">
      <c r="A4" s="81"/>
      <c r="B4" s="82"/>
      <c r="C4" s="76"/>
      <c r="D4" s="82"/>
      <c r="E4" s="76"/>
      <c r="F4" s="76"/>
      <c r="G4" s="76"/>
      <c r="H4" s="82"/>
      <c r="I4" s="82"/>
      <c r="J4" s="82"/>
      <c r="K4" s="58"/>
      <c r="L4" s="59"/>
      <c r="M4" s="60"/>
      <c r="N4" s="21" t="s">
        <v>50</v>
      </c>
      <c r="O4" s="73" t="s">
        <v>51</v>
      </c>
      <c r="P4" s="74"/>
      <c r="Q4" s="76"/>
      <c r="R4" s="76"/>
      <c r="S4" s="67"/>
      <c r="T4" s="68"/>
      <c r="U4" s="69"/>
      <c r="V4" s="67"/>
      <c r="W4" s="68"/>
      <c r="X4" s="69"/>
      <c r="Y4" s="47"/>
    </row>
    <row r="5" spans="1:25" ht="56.45" customHeight="1" x14ac:dyDescent="0.25">
      <c r="A5" s="81"/>
      <c r="B5" s="82"/>
      <c r="C5" s="76"/>
      <c r="D5" s="82"/>
      <c r="E5" s="76"/>
      <c r="F5" s="76"/>
      <c r="G5" s="76"/>
      <c r="H5" s="82"/>
      <c r="I5" s="82"/>
      <c r="J5" s="82"/>
      <c r="K5" s="61"/>
      <c r="L5" s="62"/>
      <c r="M5" s="63"/>
      <c r="N5" s="42">
        <v>200</v>
      </c>
      <c r="O5" s="75">
        <v>80000000</v>
      </c>
      <c r="P5" s="75"/>
      <c r="Q5" s="76"/>
      <c r="R5" s="76"/>
      <c r="S5" s="70"/>
      <c r="T5" s="71"/>
      <c r="U5" s="72"/>
      <c r="V5" s="67"/>
      <c r="W5" s="68"/>
      <c r="X5" s="69"/>
      <c r="Y5" s="47"/>
    </row>
    <row r="6" spans="1:25" ht="55.15" customHeight="1" x14ac:dyDescent="0.25">
      <c r="A6" s="81"/>
      <c r="B6" s="83"/>
      <c r="C6" s="77"/>
      <c r="D6" s="83"/>
      <c r="E6" s="77"/>
      <c r="F6" s="77"/>
      <c r="G6" s="77"/>
      <c r="H6" s="83"/>
      <c r="I6" s="83"/>
      <c r="J6" s="83"/>
      <c r="K6" s="21" t="s">
        <v>42</v>
      </c>
      <c r="L6" s="21" t="s">
        <v>43</v>
      </c>
      <c r="M6" s="21" t="s">
        <v>54</v>
      </c>
      <c r="N6" s="40" t="s">
        <v>42</v>
      </c>
      <c r="O6" s="40" t="s">
        <v>43</v>
      </c>
      <c r="P6" s="40" t="s">
        <v>54</v>
      </c>
      <c r="Q6" s="77"/>
      <c r="R6" s="77"/>
      <c r="S6" s="21" t="s">
        <v>42</v>
      </c>
      <c r="T6" s="21" t="s">
        <v>43</v>
      </c>
      <c r="U6" s="21" t="s">
        <v>55</v>
      </c>
      <c r="V6" s="40" t="s">
        <v>42</v>
      </c>
      <c r="W6" s="40" t="s">
        <v>43</v>
      </c>
      <c r="X6" s="40" t="s">
        <v>55</v>
      </c>
      <c r="Y6" s="40" t="s">
        <v>56</v>
      </c>
    </row>
    <row r="7" spans="1:25" ht="165.75" thickBot="1" x14ac:dyDescent="0.3">
      <c r="A7" s="31" t="s">
        <v>14</v>
      </c>
      <c r="B7" s="43" t="s">
        <v>57</v>
      </c>
      <c r="C7" s="43" t="s">
        <v>58</v>
      </c>
      <c r="D7" s="43" t="s">
        <v>59</v>
      </c>
      <c r="E7" s="43" t="s">
        <v>60</v>
      </c>
      <c r="F7" s="43" t="s">
        <v>61</v>
      </c>
      <c r="G7" s="43" t="s">
        <v>62</v>
      </c>
      <c r="H7" s="43" t="s">
        <v>63</v>
      </c>
      <c r="I7" s="43" t="s">
        <v>64</v>
      </c>
      <c r="J7" s="43" t="s">
        <v>65</v>
      </c>
      <c r="K7" s="35">
        <v>4</v>
      </c>
      <c r="L7" s="36">
        <v>3</v>
      </c>
      <c r="M7" s="33">
        <f>(K7+L7)</f>
        <v>7</v>
      </c>
      <c r="N7" s="44">
        <f>IF(AND((K7&lt;=0),(L7&lt;=0)),0,$N$5*10^(K7-5))</f>
        <v>20</v>
      </c>
      <c r="O7" s="45">
        <f>IF(AND((K7&lt;=0),(L7&lt;=0)),0,$O$5*10^(L7-5))</f>
        <v>800000</v>
      </c>
      <c r="P7" s="45">
        <f>N7*O7</f>
        <v>16000000</v>
      </c>
      <c r="Q7" s="43" t="s">
        <v>66</v>
      </c>
      <c r="R7" s="43" t="s">
        <v>96</v>
      </c>
      <c r="S7" s="35">
        <v>1</v>
      </c>
      <c r="T7" s="36">
        <v>3</v>
      </c>
      <c r="U7" s="33">
        <f>(S7+T7)</f>
        <v>4</v>
      </c>
      <c r="V7" s="44">
        <f>IF(AND((S7&lt;=0),(T7&lt;=0)),0,$N$5*10^(S7-5))</f>
        <v>0.02</v>
      </c>
      <c r="W7" s="45">
        <f>IF(AND((S7&lt;=0),(T7&lt;=0)),0,$O$5*10^(T7-5))</f>
        <v>800000</v>
      </c>
      <c r="X7" s="45">
        <f>V7*W7</f>
        <v>16000</v>
      </c>
      <c r="Y7" s="46">
        <f>P7-X7</f>
        <v>15984000</v>
      </c>
    </row>
    <row r="8" spans="1:25" ht="300.75" thickBot="1" x14ac:dyDescent="0.3">
      <c r="A8" s="30" t="s">
        <v>67</v>
      </c>
      <c r="B8" s="9" t="s">
        <v>99</v>
      </c>
      <c r="C8" s="9" t="s">
        <v>85</v>
      </c>
      <c r="D8" s="9" t="s">
        <v>79</v>
      </c>
      <c r="E8" s="26" t="s">
        <v>78</v>
      </c>
      <c r="F8" s="32" t="s">
        <v>81</v>
      </c>
      <c r="G8" s="32" t="s">
        <v>88</v>
      </c>
      <c r="H8" s="32" t="s">
        <v>90</v>
      </c>
      <c r="I8" s="32" t="s">
        <v>82</v>
      </c>
      <c r="J8" s="32" t="s">
        <v>80</v>
      </c>
      <c r="K8" s="28">
        <v>5</v>
      </c>
      <c r="L8" s="28">
        <v>3</v>
      </c>
      <c r="M8" s="33">
        <f t="shared" ref="M8:M17" si="0">(K8+L8)</f>
        <v>8</v>
      </c>
      <c r="N8" s="44">
        <f>IF(AND((K8&lt;=0),(L8&lt;=0)),0,N$5*10^(K8-5))</f>
        <v>200</v>
      </c>
      <c r="O8" s="45">
        <f>IF(AND((K8&lt;=0),(L8&lt;=0)),0,O$5*10^(L8-5))</f>
        <v>800000</v>
      </c>
      <c r="P8" s="45">
        <f t="shared" ref="P8:P17" si="1">N8*O8</f>
        <v>160000000</v>
      </c>
      <c r="Q8" s="32" t="s">
        <v>83</v>
      </c>
      <c r="R8" s="27" t="s">
        <v>84</v>
      </c>
      <c r="S8" s="28">
        <v>2</v>
      </c>
      <c r="T8" s="28">
        <v>3</v>
      </c>
      <c r="U8" s="33">
        <f t="shared" ref="U8:U17" si="2">(S8+T8)</f>
        <v>5</v>
      </c>
      <c r="V8" s="44">
        <f>IF(AND((S8&lt;=0),(T8&lt;=0)),0,$N$5*10^(S8-5))</f>
        <v>0.2</v>
      </c>
      <c r="W8" s="45">
        <f t="shared" ref="W8:W17" si="3">IF(AND((S8&lt;=0),(T8&lt;=0)),0,$O$5*10^(T8-5))</f>
        <v>800000</v>
      </c>
      <c r="X8" s="45">
        <f t="shared" ref="X8:X17" si="4">V8*W8</f>
        <v>160000</v>
      </c>
      <c r="Y8" s="45">
        <f t="shared" ref="Y8:Y17" si="5">P8-X8</f>
        <v>159840000</v>
      </c>
    </row>
    <row r="9" spans="1:25" ht="363" thickBot="1" x14ac:dyDescent="0.3">
      <c r="A9" s="14" t="s">
        <v>75</v>
      </c>
      <c r="B9" s="9" t="s">
        <v>100</v>
      </c>
      <c r="C9" s="9" t="s">
        <v>98</v>
      </c>
      <c r="D9" s="9" t="s">
        <v>86</v>
      </c>
      <c r="E9" s="26" t="s">
        <v>92</v>
      </c>
      <c r="F9" s="9" t="s">
        <v>87</v>
      </c>
      <c r="G9" s="9" t="s">
        <v>89</v>
      </c>
      <c r="H9" s="32" t="s">
        <v>91</v>
      </c>
      <c r="I9" s="9" t="s">
        <v>93</v>
      </c>
      <c r="J9" s="9" t="s">
        <v>94</v>
      </c>
      <c r="K9" s="10">
        <v>5</v>
      </c>
      <c r="L9" s="10">
        <v>4</v>
      </c>
      <c r="M9" s="33">
        <f t="shared" si="0"/>
        <v>9</v>
      </c>
      <c r="N9" s="44">
        <f t="shared" ref="N9:N17" si="6">IF(AND((K9&lt;=0),(L9&lt;=0)),0,N$5*10^(K9-5))</f>
        <v>200</v>
      </c>
      <c r="O9" s="45">
        <f t="shared" ref="O9:O17" si="7">IF(AND((K9&lt;=0),(L9&lt;=0)),0,O$5*10^(L9-5))</f>
        <v>8000000</v>
      </c>
      <c r="P9" s="45">
        <f t="shared" si="1"/>
        <v>1600000000</v>
      </c>
      <c r="Q9" s="9" t="s">
        <v>95</v>
      </c>
      <c r="R9" s="24" t="s">
        <v>97</v>
      </c>
      <c r="S9" s="10">
        <v>1</v>
      </c>
      <c r="T9" s="28">
        <v>4</v>
      </c>
      <c r="U9" s="33">
        <f t="shared" si="2"/>
        <v>5</v>
      </c>
      <c r="V9" s="44">
        <f t="shared" ref="V9:V17" si="8">IF(AND((S9&lt;=0),(T9&lt;=0)),0,$N$5*10^(S9-5))</f>
        <v>0.02</v>
      </c>
      <c r="W9" s="45">
        <f t="shared" si="3"/>
        <v>8000000</v>
      </c>
      <c r="X9" s="45">
        <f t="shared" si="4"/>
        <v>160000</v>
      </c>
      <c r="Y9" s="45">
        <f t="shared" si="5"/>
        <v>1599840000</v>
      </c>
    </row>
    <row r="10" spans="1:25" ht="150.75" thickBot="1" x14ac:dyDescent="0.3">
      <c r="A10" s="14" t="s">
        <v>68</v>
      </c>
      <c r="B10" s="9" t="s">
        <v>101</v>
      </c>
      <c r="C10" s="9" t="s">
        <v>102</v>
      </c>
      <c r="D10" s="9" t="s">
        <v>103</v>
      </c>
      <c r="E10" s="26" t="s">
        <v>104</v>
      </c>
      <c r="F10" s="25" t="s">
        <v>105</v>
      </c>
      <c r="G10" s="25" t="s">
        <v>105</v>
      </c>
      <c r="H10" s="25" t="s">
        <v>106</v>
      </c>
      <c r="I10" s="25" t="s">
        <v>108</v>
      </c>
      <c r="J10" s="25" t="s">
        <v>107</v>
      </c>
      <c r="K10" s="10">
        <v>3</v>
      </c>
      <c r="L10" s="10">
        <v>2</v>
      </c>
      <c r="M10" s="33">
        <f t="shared" si="0"/>
        <v>5</v>
      </c>
      <c r="N10" s="44">
        <f t="shared" si="6"/>
        <v>2</v>
      </c>
      <c r="O10" s="45">
        <f t="shared" si="7"/>
        <v>80000</v>
      </c>
      <c r="P10" s="45">
        <f t="shared" si="1"/>
        <v>160000</v>
      </c>
      <c r="Q10" s="25" t="s">
        <v>109</v>
      </c>
      <c r="R10" s="24" t="s">
        <v>110</v>
      </c>
      <c r="S10" s="10">
        <v>1</v>
      </c>
      <c r="T10" s="28">
        <v>2</v>
      </c>
      <c r="U10" s="33">
        <f t="shared" si="2"/>
        <v>3</v>
      </c>
      <c r="V10" s="44">
        <f t="shared" si="8"/>
        <v>0.02</v>
      </c>
      <c r="W10" s="45">
        <f t="shared" si="3"/>
        <v>80000</v>
      </c>
      <c r="X10" s="45">
        <f t="shared" si="4"/>
        <v>1600</v>
      </c>
      <c r="Y10" s="45">
        <f t="shared" si="5"/>
        <v>158400</v>
      </c>
    </row>
    <row r="11" spans="1:25" ht="16.5" thickBot="1" x14ac:dyDescent="0.3">
      <c r="A11" s="14" t="s">
        <v>69</v>
      </c>
      <c r="B11" s="22"/>
      <c r="C11" s="27"/>
      <c r="D11" s="22"/>
      <c r="E11" s="26"/>
      <c r="F11" s="32"/>
      <c r="G11" s="32"/>
      <c r="H11" s="32"/>
      <c r="I11" s="9"/>
      <c r="J11" s="9"/>
      <c r="K11" s="28"/>
      <c r="L11" s="28"/>
      <c r="M11" s="33">
        <f t="shared" si="0"/>
        <v>0</v>
      </c>
      <c r="N11" s="44">
        <f t="shared" si="6"/>
        <v>0</v>
      </c>
      <c r="O11" s="45">
        <f t="shared" si="7"/>
        <v>0</v>
      </c>
      <c r="P11" s="45">
        <f t="shared" si="1"/>
        <v>0</v>
      </c>
      <c r="Q11" s="27"/>
      <c r="R11" s="8"/>
      <c r="S11" s="28"/>
      <c r="T11" s="28"/>
      <c r="U11" s="33">
        <f t="shared" si="2"/>
        <v>0</v>
      </c>
      <c r="V11" s="44">
        <f t="shared" si="8"/>
        <v>0</v>
      </c>
      <c r="W11" s="45">
        <f t="shared" si="3"/>
        <v>0</v>
      </c>
      <c r="X11" s="45">
        <f t="shared" si="4"/>
        <v>0</v>
      </c>
      <c r="Y11" s="45">
        <f t="shared" si="5"/>
        <v>0</v>
      </c>
    </row>
    <row r="12" spans="1:25" ht="16.5" thickBot="1" x14ac:dyDescent="0.3">
      <c r="A12" s="14" t="s">
        <v>76</v>
      </c>
      <c r="B12" s="23"/>
      <c r="C12" s="9"/>
      <c r="D12" s="23"/>
      <c r="E12" s="9"/>
      <c r="F12" s="9"/>
      <c r="G12" s="9"/>
      <c r="H12" s="9"/>
      <c r="I12" s="9"/>
      <c r="J12" s="9"/>
      <c r="K12" s="10"/>
      <c r="L12" s="10"/>
      <c r="M12" s="33">
        <f t="shared" si="0"/>
        <v>0</v>
      </c>
      <c r="N12" s="44">
        <f t="shared" si="6"/>
        <v>0</v>
      </c>
      <c r="O12" s="45">
        <f t="shared" si="7"/>
        <v>0</v>
      </c>
      <c r="P12" s="45">
        <f t="shared" si="1"/>
        <v>0</v>
      </c>
      <c r="Q12" s="8"/>
      <c r="R12" s="8"/>
      <c r="S12" s="10"/>
      <c r="T12" s="10"/>
      <c r="U12" s="33">
        <f t="shared" si="2"/>
        <v>0</v>
      </c>
      <c r="V12" s="44">
        <f t="shared" si="8"/>
        <v>0</v>
      </c>
      <c r="W12" s="45">
        <f t="shared" si="3"/>
        <v>0</v>
      </c>
      <c r="X12" s="45">
        <f t="shared" si="4"/>
        <v>0</v>
      </c>
      <c r="Y12" s="45">
        <f t="shared" si="5"/>
        <v>0</v>
      </c>
    </row>
    <row r="13" spans="1:25" ht="16.5" thickBot="1" x14ac:dyDescent="0.3">
      <c r="A13" s="14" t="s">
        <v>70</v>
      </c>
      <c r="B13" s="23"/>
      <c r="C13" s="9"/>
      <c r="D13" s="23"/>
      <c r="E13" s="9"/>
      <c r="F13" s="9"/>
      <c r="G13" s="9"/>
      <c r="H13" s="9"/>
      <c r="I13" s="9"/>
      <c r="J13" s="9"/>
      <c r="K13" s="10"/>
      <c r="L13" s="10"/>
      <c r="M13" s="33">
        <f t="shared" si="0"/>
        <v>0</v>
      </c>
      <c r="N13" s="44">
        <f t="shared" si="6"/>
        <v>0</v>
      </c>
      <c r="O13" s="45">
        <f t="shared" si="7"/>
        <v>0</v>
      </c>
      <c r="P13" s="45">
        <f t="shared" si="1"/>
        <v>0</v>
      </c>
      <c r="Q13" s="8"/>
      <c r="R13" s="8"/>
      <c r="S13" s="10"/>
      <c r="T13" s="10"/>
      <c r="U13" s="33">
        <f t="shared" si="2"/>
        <v>0</v>
      </c>
      <c r="V13" s="44">
        <f t="shared" si="8"/>
        <v>0</v>
      </c>
      <c r="W13" s="45">
        <f t="shared" si="3"/>
        <v>0</v>
      </c>
      <c r="X13" s="45">
        <f t="shared" si="4"/>
        <v>0</v>
      </c>
      <c r="Y13" s="45">
        <f t="shared" si="5"/>
        <v>0</v>
      </c>
    </row>
    <row r="14" spans="1:25" ht="16.5" thickBot="1" x14ac:dyDescent="0.3">
      <c r="A14" s="14" t="s">
        <v>71</v>
      </c>
      <c r="B14" s="23"/>
      <c r="C14" s="9"/>
      <c r="D14" s="23"/>
      <c r="E14" s="9"/>
      <c r="F14" s="9"/>
      <c r="G14" s="9"/>
      <c r="H14" s="9"/>
      <c r="I14" s="9"/>
      <c r="J14" s="9"/>
      <c r="K14" s="10"/>
      <c r="L14" s="10"/>
      <c r="M14" s="33">
        <f t="shared" si="0"/>
        <v>0</v>
      </c>
      <c r="N14" s="44">
        <f t="shared" si="6"/>
        <v>0</v>
      </c>
      <c r="O14" s="45">
        <f t="shared" si="7"/>
        <v>0</v>
      </c>
      <c r="P14" s="45">
        <f t="shared" si="1"/>
        <v>0</v>
      </c>
      <c r="Q14" s="8"/>
      <c r="R14" s="8"/>
      <c r="S14" s="10"/>
      <c r="T14" s="10"/>
      <c r="U14" s="33">
        <f t="shared" si="2"/>
        <v>0</v>
      </c>
      <c r="V14" s="44">
        <f t="shared" si="8"/>
        <v>0</v>
      </c>
      <c r="W14" s="45">
        <f t="shared" si="3"/>
        <v>0</v>
      </c>
      <c r="X14" s="45">
        <f t="shared" si="4"/>
        <v>0</v>
      </c>
      <c r="Y14" s="45">
        <f t="shared" si="5"/>
        <v>0</v>
      </c>
    </row>
    <row r="15" spans="1:25" ht="16.5" thickBot="1" x14ac:dyDescent="0.3">
      <c r="A15" s="14" t="s">
        <v>72</v>
      </c>
      <c r="B15" s="23"/>
      <c r="C15" s="9"/>
      <c r="D15" s="23"/>
      <c r="E15" s="9"/>
      <c r="F15" s="9"/>
      <c r="G15" s="9"/>
      <c r="H15" s="9"/>
      <c r="I15" s="9"/>
      <c r="J15" s="9"/>
      <c r="K15" s="10"/>
      <c r="L15" s="10"/>
      <c r="M15" s="33">
        <f t="shared" si="0"/>
        <v>0</v>
      </c>
      <c r="N15" s="44">
        <f t="shared" si="6"/>
        <v>0</v>
      </c>
      <c r="O15" s="45">
        <f t="shared" si="7"/>
        <v>0</v>
      </c>
      <c r="P15" s="45">
        <f t="shared" si="1"/>
        <v>0</v>
      </c>
      <c r="Q15" s="8"/>
      <c r="R15" s="8"/>
      <c r="S15" s="10"/>
      <c r="T15" s="10"/>
      <c r="U15" s="33">
        <f t="shared" si="2"/>
        <v>0</v>
      </c>
      <c r="V15" s="44">
        <f t="shared" si="8"/>
        <v>0</v>
      </c>
      <c r="W15" s="45">
        <f t="shared" si="3"/>
        <v>0</v>
      </c>
      <c r="X15" s="45">
        <f t="shared" si="4"/>
        <v>0</v>
      </c>
      <c r="Y15" s="45">
        <f t="shared" si="5"/>
        <v>0</v>
      </c>
    </row>
    <row r="16" spans="1:25" ht="16.5" thickBot="1" x14ac:dyDescent="0.3">
      <c r="A16" s="14" t="s">
        <v>73</v>
      </c>
      <c r="B16" s="23"/>
      <c r="C16" s="9"/>
      <c r="D16" s="23"/>
      <c r="E16" s="9"/>
      <c r="F16" s="9"/>
      <c r="G16" s="9"/>
      <c r="H16" s="9"/>
      <c r="I16" s="9"/>
      <c r="J16" s="9"/>
      <c r="K16" s="10"/>
      <c r="L16" s="10"/>
      <c r="M16" s="33">
        <f t="shared" si="0"/>
        <v>0</v>
      </c>
      <c r="N16" s="44">
        <f t="shared" si="6"/>
        <v>0</v>
      </c>
      <c r="O16" s="45">
        <f t="shared" si="7"/>
        <v>0</v>
      </c>
      <c r="P16" s="45">
        <f t="shared" si="1"/>
        <v>0</v>
      </c>
      <c r="Q16" s="8"/>
      <c r="R16" s="8"/>
      <c r="S16" s="10"/>
      <c r="T16" s="10"/>
      <c r="U16" s="33">
        <f t="shared" si="2"/>
        <v>0</v>
      </c>
      <c r="V16" s="44">
        <f t="shared" si="8"/>
        <v>0</v>
      </c>
      <c r="W16" s="45">
        <f t="shared" si="3"/>
        <v>0</v>
      </c>
      <c r="X16" s="45">
        <f t="shared" si="4"/>
        <v>0</v>
      </c>
      <c r="Y16" s="45">
        <f t="shared" si="5"/>
        <v>0</v>
      </c>
    </row>
    <row r="17" spans="1:25" ht="16.5" thickBot="1" x14ac:dyDescent="0.3">
      <c r="A17" s="14" t="s">
        <v>74</v>
      </c>
      <c r="B17" s="23"/>
      <c r="C17" s="9"/>
      <c r="D17" s="23"/>
      <c r="E17" s="9"/>
      <c r="F17" s="9"/>
      <c r="G17" s="9"/>
      <c r="H17" s="9"/>
      <c r="I17" s="9"/>
      <c r="J17" s="9"/>
      <c r="K17" s="10"/>
      <c r="L17" s="10"/>
      <c r="M17" s="33">
        <f t="shared" si="0"/>
        <v>0</v>
      </c>
      <c r="N17" s="44">
        <f t="shared" si="6"/>
        <v>0</v>
      </c>
      <c r="O17" s="45">
        <f t="shared" si="7"/>
        <v>0</v>
      </c>
      <c r="P17" s="45">
        <f t="shared" si="1"/>
        <v>0</v>
      </c>
      <c r="Q17" s="8"/>
      <c r="R17" s="8"/>
      <c r="S17" s="10"/>
      <c r="T17" s="10"/>
      <c r="U17" s="33">
        <f t="shared" si="2"/>
        <v>0</v>
      </c>
      <c r="V17" s="44">
        <f t="shared" si="8"/>
        <v>0</v>
      </c>
      <c r="W17" s="45">
        <f t="shared" si="3"/>
        <v>0</v>
      </c>
      <c r="X17" s="45">
        <f t="shared" si="4"/>
        <v>0</v>
      </c>
      <c r="Y17" s="45">
        <f t="shared" si="5"/>
        <v>0</v>
      </c>
    </row>
    <row r="18" spans="1:25" ht="15.75" x14ac:dyDescent="0.25">
      <c r="A18" s="14"/>
      <c r="B18" s="9"/>
      <c r="C18" s="9"/>
      <c r="D18" s="9"/>
      <c r="E18" s="9"/>
      <c r="F18" s="9"/>
      <c r="G18" s="9"/>
      <c r="H18" s="9"/>
      <c r="I18" s="9"/>
      <c r="J18" s="9"/>
      <c r="K18" s="10"/>
      <c r="L18" s="10"/>
      <c r="M18" s="34"/>
      <c r="N18" s="34"/>
      <c r="O18" s="34"/>
      <c r="P18" s="34"/>
      <c r="Q18" s="8"/>
      <c r="R18" s="8"/>
      <c r="S18" s="10"/>
      <c r="T18" s="10"/>
      <c r="U18" s="16"/>
    </row>
    <row r="19" spans="1:25" ht="15.75" x14ac:dyDescent="0.25">
      <c r="A19" s="14"/>
      <c r="B19" s="9"/>
      <c r="C19" s="9"/>
      <c r="D19" s="9"/>
      <c r="E19" s="9"/>
      <c r="F19" s="9"/>
      <c r="G19" s="9"/>
      <c r="H19" s="9"/>
      <c r="I19" s="9"/>
      <c r="J19" s="9"/>
      <c r="K19" s="10"/>
      <c r="L19" s="10"/>
      <c r="M19" s="34"/>
      <c r="N19" s="34"/>
      <c r="O19" s="34"/>
      <c r="P19" s="34"/>
      <c r="Q19" s="8"/>
      <c r="R19" s="8"/>
      <c r="S19" s="10"/>
      <c r="T19" s="10"/>
      <c r="U19" s="16"/>
    </row>
    <row r="20" spans="1:25" ht="15.75" x14ac:dyDescent="0.25">
      <c r="A20" s="14"/>
      <c r="B20" s="9"/>
      <c r="C20" s="9"/>
      <c r="D20" s="9"/>
      <c r="E20" s="9"/>
      <c r="F20" s="9"/>
      <c r="G20" s="9"/>
      <c r="H20" s="9"/>
      <c r="I20" s="9"/>
      <c r="J20" s="9"/>
      <c r="K20" s="10"/>
      <c r="L20" s="10"/>
      <c r="M20" s="34"/>
      <c r="N20" s="34"/>
      <c r="P20" s="34"/>
      <c r="Q20" s="8"/>
      <c r="R20" s="8"/>
      <c r="S20" s="10"/>
      <c r="T20" s="10"/>
      <c r="U20" s="16"/>
    </row>
    <row r="21" spans="1:25" ht="16.5" thickBot="1" x14ac:dyDescent="0.3">
      <c r="A21" s="14"/>
      <c r="B21" s="9"/>
      <c r="C21" s="9"/>
      <c r="D21" s="9"/>
      <c r="E21" s="9"/>
      <c r="F21" s="9"/>
      <c r="G21" s="9"/>
      <c r="H21" s="9"/>
      <c r="I21" s="9"/>
      <c r="J21" s="9"/>
      <c r="K21" s="10"/>
      <c r="L21" s="10"/>
      <c r="M21" s="34"/>
      <c r="N21" s="41"/>
      <c r="O21" s="41"/>
      <c r="P21" s="41"/>
      <c r="Q21" s="29"/>
      <c r="R21" s="29"/>
      <c r="S21" s="10"/>
      <c r="T21" s="10"/>
      <c r="U21" s="16"/>
    </row>
    <row r="22" spans="1:25" ht="15.75" x14ac:dyDescent="0.25">
      <c r="A22" s="14"/>
      <c r="B22" s="9"/>
      <c r="C22" s="9"/>
      <c r="D22" s="9"/>
      <c r="E22" s="9"/>
      <c r="F22" s="9"/>
      <c r="G22" s="9"/>
      <c r="H22" s="9"/>
      <c r="I22" s="9"/>
      <c r="J22" s="9"/>
      <c r="K22" s="10"/>
      <c r="L22" s="10"/>
      <c r="M22" s="34"/>
      <c r="N22" s="34"/>
      <c r="O22" s="34"/>
      <c r="P22" s="34"/>
      <c r="Q22" s="8"/>
      <c r="R22" s="8"/>
      <c r="S22" s="10"/>
      <c r="T22" s="10"/>
      <c r="U22" s="16"/>
    </row>
    <row r="23" spans="1:25" ht="15.75" x14ac:dyDescent="0.25">
      <c r="A23" s="14"/>
      <c r="B23" s="9"/>
      <c r="C23" s="9"/>
      <c r="D23" s="9"/>
      <c r="E23" s="9"/>
      <c r="F23" s="9"/>
      <c r="G23" s="9"/>
      <c r="H23" s="9"/>
      <c r="I23" s="9"/>
      <c r="J23" s="9"/>
      <c r="K23" s="10"/>
      <c r="L23" s="10"/>
      <c r="M23" s="34"/>
      <c r="N23" s="34"/>
      <c r="O23" s="34"/>
      <c r="P23" s="34"/>
      <c r="Q23" s="8"/>
      <c r="R23" s="8"/>
      <c r="S23" s="10"/>
      <c r="T23" s="10"/>
      <c r="U23" s="16"/>
    </row>
    <row r="24" spans="1:25" ht="15.75" x14ac:dyDescent="0.25">
      <c r="A24" s="14"/>
      <c r="B24" s="9"/>
      <c r="C24" s="9"/>
      <c r="D24" s="9"/>
      <c r="E24" s="9"/>
      <c r="F24" s="9"/>
      <c r="G24" s="9"/>
      <c r="H24" s="9"/>
      <c r="I24" s="9"/>
      <c r="J24" s="9"/>
      <c r="K24" s="10"/>
      <c r="L24" s="10"/>
      <c r="M24" s="34"/>
      <c r="N24" s="34"/>
      <c r="O24" s="34"/>
      <c r="P24" s="34"/>
      <c r="Q24" s="8"/>
      <c r="R24" s="8"/>
      <c r="S24" s="10"/>
      <c r="T24" s="10"/>
      <c r="U24" s="16"/>
    </row>
    <row r="25" spans="1:25" ht="15.75" x14ac:dyDescent="0.25">
      <c r="A25" s="14"/>
      <c r="B25" s="9"/>
      <c r="C25" s="9"/>
      <c r="D25" s="9"/>
      <c r="E25" s="9"/>
      <c r="F25" s="9"/>
      <c r="G25" s="9"/>
      <c r="H25" s="9"/>
      <c r="I25" s="9"/>
      <c r="J25" s="9"/>
      <c r="K25" s="10"/>
      <c r="L25" s="10"/>
      <c r="M25" s="34"/>
      <c r="N25" s="34"/>
      <c r="O25" s="34"/>
      <c r="P25" s="34"/>
      <c r="Q25" s="8"/>
      <c r="R25" s="8"/>
      <c r="S25" s="10"/>
      <c r="T25" s="10"/>
      <c r="U25" s="16"/>
    </row>
    <row r="26" spans="1:25" ht="15.75" x14ac:dyDescent="0.25">
      <c r="A26" s="14"/>
      <c r="B26" s="11"/>
      <c r="C26" s="11"/>
      <c r="D26" s="11"/>
      <c r="E26" s="11"/>
      <c r="F26" s="11"/>
      <c r="G26" s="11"/>
      <c r="H26" s="11"/>
      <c r="I26" s="11"/>
      <c r="J26" s="11"/>
      <c r="K26" s="12"/>
      <c r="L26" s="12"/>
      <c r="M26" s="34"/>
      <c r="N26" s="34"/>
      <c r="O26" s="34"/>
      <c r="P26" s="34"/>
      <c r="Q26" s="13"/>
      <c r="R26" s="13"/>
      <c r="S26" s="10"/>
      <c r="T26" s="10"/>
      <c r="U26" s="16"/>
    </row>
    <row r="27" spans="1:25" ht="15.75" x14ac:dyDescent="0.25">
      <c r="A27" s="14"/>
      <c r="B27" s="11"/>
      <c r="C27" s="11"/>
      <c r="D27" s="11"/>
      <c r="E27" s="11"/>
      <c r="F27" s="11"/>
      <c r="G27" s="11"/>
      <c r="H27" s="11"/>
      <c r="I27" s="11"/>
      <c r="J27" s="11"/>
      <c r="K27" s="12"/>
      <c r="L27" s="12"/>
      <c r="M27" s="34"/>
      <c r="N27" s="34"/>
      <c r="O27" s="34"/>
      <c r="P27" s="34"/>
      <c r="Q27" s="13"/>
      <c r="R27" s="13"/>
      <c r="S27" s="10"/>
      <c r="T27" s="10"/>
      <c r="U27" s="16"/>
    </row>
    <row r="28" spans="1:25" ht="15.75" x14ac:dyDescent="0.25">
      <c r="A28" s="15"/>
      <c r="B28" s="7"/>
      <c r="C28" s="7"/>
      <c r="D28" s="7"/>
      <c r="E28" s="7"/>
      <c r="F28" s="7"/>
      <c r="G28" s="7"/>
      <c r="H28" s="7"/>
      <c r="I28" s="7"/>
      <c r="J28" s="7"/>
      <c r="K28" s="12"/>
      <c r="L28" s="12"/>
      <c r="M28" s="34"/>
      <c r="N28" s="34"/>
      <c r="O28" s="34"/>
      <c r="P28" s="34"/>
      <c r="Q28" s="8"/>
      <c r="R28" s="8"/>
      <c r="S28" s="10"/>
      <c r="T28" s="10"/>
      <c r="U28" s="16"/>
    </row>
    <row r="29" spans="1:25" ht="15.75" x14ac:dyDescent="0.25">
      <c r="A29" s="15"/>
      <c r="B29" s="7"/>
      <c r="C29" s="7"/>
      <c r="D29" s="7"/>
      <c r="E29" s="7"/>
      <c r="F29" s="7"/>
      <c r="G29" s="7"/>
      <c r="H29" s="7"/>
      <c r="I29" s="7"/>
      <c r="J29" s="7"/>
      <c r="K29" s="12"/>
      <c r="L29" s="12"/>
      <c r="M29" s="34"/>
      <c r="N29" s="34"/>
      <c r="O29" s="34"/>
      <c r="P29" s="34"/>
      <c r="Q29" s="8"/>
      <c r="R29" s="8"/>
      <c r="S29" s="10"/>
      <c r="T29" s="10"/>
      <c r="U29" s="16"/>
    </row>
    <row r="30" spans="1:25" ht="15.75" x14ac:dyDescent="0.25">
      <c r="A30" s="15"/>
      <c r="B30" s="7"/>
      <c r="C30" s="7"/>
      <c r="D30" s="7"/>
      <c r="E30" s="7"/>
      <c r="F30" s="7"/>
      <c r="G30" s="7"/>
      <c r="H30" s="7"/>
      <c r="I30" s="7"/>
      <c r="J30" s="7"/>
      <c r="K30" s="12"/>
      <c r="L30" s="12"/>
      <c r="M30" s="34"/>
      <c r="N30" s="34"/>
      <c r="O30" s="34"/>
      <c r="P30" s="34"/>
      <c r="Q30" s="8"/>
      <c r="R30" s="8"/>
      <c r="S30" s="10"/>
      <c r="T30" s="10"/>
      <c r="U30" s="16"/>
    </row>
    <row r="31" spans="1:25" ht="15.75" x14ac:dyDescent="0.25">
      <c r="A31" s="15"/>
      <c r="B31" s="7"/>
      <c r="C31" s="7"/>
      <c r="D31" s="7"/>
      <c r="E31" s="7"/>
      <c r="F31" s="7"/>
      <c r="G31" s="7"/>
      <c r="H31" s="7"/>
      <c r="I31" s="7"/>
      <c r="J31" s="7"/>
      <c r="K31" s="12"/>
      <c r="L31" s="12"/>
      <c r="M31" s="34"/>
      <c r="N31" s="34"/>
      <c r="O31" s="34"/>
      <c r="P31" s="34"/>
      <c r="Q31" s="8"/>
      <c r="R31" s="8"/>
      <c r="S31" s="10"/>
      <c r="T31" s="10"/>
      <c r="U31" s="16"/>
    </row>
    <row r="32" spans="1:25" ht="15.75" x14ac:dyDescent="0.25">
      <c r="A32" s="15"/>
      <c r="B32" s="7"/>
      <c r="C32" s="7"/>
      <c r="D32" s="7"/>
      <c r="E32" s="7"/>
      <c r="F32" s="7"/>
      <c r="G32" s="7"/>
      <c r="H32" s="7"/>
      <c r="I32" s="7"/>
      <c r="J32" s="7"/>
      <c r="K32" s="12"/>
      <c r="L32" s="12"/>
      <c r="M32" s="34"/>
      <c r="N32" s="34"/>
      <c r="O32" s="34"/>
      <c r="P32" s="34"/>
      <c r="Q32" s="8"/>
      <c r="R32" s="8"/>
      <c r="S32" s="10"/>
      <c r="T32" s="10"/>
      <c r="U32" s="16"/>
    </row>
    <row r="33" spans="1:21" ht="15.75" x14ac:dyDescent="0.25">
      <c r="A33" s="15"/>
      <c r="B33" s="7"/>
      <c r="C33" s="7"/>
      <c r="D33" s="7"/>
      <c r="E33" s="7"/>
      <c r="F33" s="7"/>
      <c r="G33" s="7"/>
      <c r="H33" s="7"/>
      <c r="I33" s="7"/>
      <c r="J33" s="7"/>
      <c r="K33" s="12"/>
      <c r="L33" s="12"/>
      <c r="M33" s="34"/>
      <c r="N33" s="34"/>
      <c r="O33" s="34"/>
      <c r="P33" s="34"/>
      <c r="Q33" s="8"/>
      <c r="R33" s="8"/>
      <c r="S33" s="10"/>
      <c r="T33" s="10"/>
      <c r="U33" s="16"/>
    </row>
    <row r="34" spans="1:21" ht="15.75" x14ac:dyDescent="0.25">
      <c r="A34" s="15"/>
      <c r="B34" s="7"/>
      <c r="C34" s="7"/>
      <c r="D34" s="7"/>
      <c r="E34" s="7"/>
      <c r="F34" s="7"/>
      <c r="G34" s="7"/>
      <c r="H34" s="7"/>
      <c r="I34" s="7"/>
      <c r="J34" s="7"/>
      <c r="K34" s="12"/>
      <c r="L34" s="12"/>
      <c r="M34" s="34"/>
      <c r="N34" s="34"/>
      <c r="O34" s="34"/>
      <c r="P34" s="34"/>
      <c r="Q34" s="8"/>
      <c r="R34" s="8"/>
      <c r="S34" s="10"/>
      <c r="T34" s="10"/>
      <c r="U34" s="16"/>
    </row>
    <row r="35" spans="1:21" ht="15.75" x14ac:dyDescent="0.25">
      <c r="A35" s="15"/>
      <c r="B35" s="7"/>
      <c r="C35" s="7"/>
      <c r="D35" s="7"/>
      <c r="E35" s="7"/>
      <c r="F35" s="7"/>
      <c r="G35" s="7"/>
      <c r="H35" s="7"/>
      <c r="I35" s="7"/>
      <c r="J35" s="7"/>
      <c r="K35" s="12"/>
      <c r="L35" s="12"/>
      <c r="M35" s="34"/>
      <c r="N35" s="34"/>
      <c r="O35" s="34"/>
      <c r="P35" s="34"/>
      <c r="Q35" s="8"/>
      <c r="R35" s="8"/>
      <c r="S35" s="10"/>
      <c r="T35" s="10"/>
      <c r="U35" s="16"/>
    </row>
    <row r="36" spans="1:21" ht="15.75" x14ac:dyDescent="0.25">
      <c r="A36" s="15"/>
      <c r="B36" s="7"/>
      <c r="C36" s="7"/>
      <c r="D36" s="7"/>
      <c r="E36" s="7"/>
      <c r="F36" s="7"/>
      <c r="G36" s="7"/>
      <c r="H36" s="7"/>
      <c r="I36" s="7"/>
      <c r="J36" s="7"/>
      <c r="K36" s="12"/>
      <c r="L36" s="12"/>
      <c r="M36" s="34"/>
      <c r="N36" s="34"/>
      <c r="O36" s="34"/>
      <c r="P36" s="34"/>
      <c r="Q36" s="8"/>
      <c r="R36" s="8"/>
      <c r="S36" s="10"/>
      <c r="T36" s="10"/>
      <c r="U36" s="16"/>
    </row>
    <row r="37" spans="1:21" ht="15.75" x14ac:dyDescent="0.25">
      <c r="A37" s="15"/>
      <c r="B37" s="7"/>
      <c r="C37" s="7"/>
      <c r="D37" s="7"/>
      <c r="E37" s="7"/>
      <c r="F37" s="7"/>
      <c r="G37" s="7"/>
      <c r="H37" s="7"/>
      <c r="I37" s="7"/>
      <c r="J37" s="7"/>
      <c r="K37" s="12"/>
      <c r="L37" s="12"/>
      <c r="M37" s="34"/>
      <c r="N37" s="34"/>
      <c r="O37" s="34"/>
      <c r="P37" s="34"/>
      <c r="Q37" s="8"/>
      <c r="R37" s="8"/>
      <c r="S37" s="10"/>
      <c r="T37" s="10"/>
      <c r="U37" s="16"/>
    </row>
    <row r="38" spans="1:21" ht="15.75" x14ac:dyDescent="0.25">
      <c r="A38" s="15"/>
      <c r="B38" s="7"/>
      <c r="C38" s="7"/>
      <c r="D38" s="7"/>
      <c r="E38" s="7"/>
      <c r="F38" s="7"/>
      <c r="G38" s="7"/>
      <c r="H38" s="7"/>
      <c r="I38" s="7"/>
      <c r="J38" s="7"/>
      <c r="K38" s="12"/>
      <c r="L38" s="12"/>
      <c r="M38" s="34"/>
      <c r="N38" s="34"/>
      <c r="O38" s="34"/>
      <c r="P38" s="34"/>
      <c r="Q38" s="8"/>
      <c r="R38" s="8"/>
      <c r="S38" s="10"/>
      <c r="T38" s="10"/>
      <c r="U38" s="16"/>
    </row>
    <row r="39" spans="1:21" ht="15.75" x14ac:dyDescent="0.25">
      <c r="A39" s="15"/>
      <c r="B39" s="7"/>
      <c r="C39" s="7"/>
      <c r="D39" s="7"/>
      <c r="E39" s="7"/>
      <c r="F39" s="7"/>
      <c r="G39" s="7"/>
      <c r="H39" s="7"/>
      <c r="I39" s="7"/>
      <c r="J39" s="7"/>
      <c r="K39" s="12"/>
      <c r="L39" s="12"/>
      <c r="M39" s="34"/>
      <c r="N39" s="34"/>
      <c r="O39" s="34"/>
      <c r="P39" s="34"/>
      <c r="Q39" s="8"/>
      <c r="R39" s="8"/>
      <c r="S39" s="10"/>
      <c r="T39" s="10"/>
      <c r="U39" s="16"/>
    </row>
    <row r="40" spans="1:21" ht="15.75" x14ac:dyDescent="0.25">
      <c r="A40" s="15"/>
      <c r="B40" s="7"/>
      <c r="C40" s="7"/>
      <c r="D40" s="7"/>
      <c r="E40" s="7"/>
      <c r="F40" s="7"/>
      <c r="G40" s="7"/>
      <c r="H40" s="7"/>
      <c r="I40" s="7"/>
      <c r="J40" s="7"/>
      <c r="K40" s="12"/>
      <c r="L40" s="12"/>
      <c r="M40" s="34"/>
      <c r="N40" s="34"/>
      <c r="O40" s="34"/>
      <c r="P40" s="34"/>
      <c r="Q40" s="8"/>
      <c r="R40" s="8"/>
      <c r="S40" s="10"/>
      <c r="T40" s="10"/>
      <c r="U40" s="16"/>
    </row>
    <row r="41" spans="1:21" ht="15.75" x14ac:dyDescent="0.25">
      <c r="A41" s="15"/>
      <c r="B41" s="7"/>
      <c r="C41" s="7"/>
      <c r="D41" s="7"/>
      <c r="E41" s="7"/>
      <c r="F41" s="7"/>
      <c r="G41" s="7"/>
      <c r="H41" s="7"/>
      <c r="I41" s="7"/>
      <c r="J41" s="7"/>
      <c r="K41" s="12"/>
      <c r="L41" s="12"/>
      <c r="M41" s="34"/>
      <c r="N41" s="34"/>
      <c r="O41" s="34"/>
      <c r="P41" s="34"/>
      <c r="Q41" s="8"/>
      <c r="R41" s="8"/>
      <c r="S41" s="10"/>
      <c r="T41" s="10"/>
      <c r="U41" s="16"/>
    </row>
    <row r="42" spans="1:21" ht="15.75" x14ac:dyDescent="0.25">
      <c r="A42" s="15"/>
      <c r="B42" s="7"/>
      <c r="C42" s="7"/>
      <c r="D42" s="7"/>
      <c r="E42" s="7"/>
      <c r="F42" s="7"/>
      <c r="G42" s="7"/>
      <c r="H42" s="7"/>
      <c r="I42" s="7"/>
      <c r="J42" s="7"/>
      <c r="K42" s="12"/>
      <c r="L42" s="12"/>
      <c r="M42" s="34"/>
      <c r="N42" s="34"/>
      <c r="O42" s="34"/>
      <c r="P42" s="34"/>
      <c r="Q42" s="8"/>
      <c r="R42" s="8"/>
      <c r="S42" s="10"/>
      <c r="T42" s="10"/>
      <c r="U42" s="16"/>
    </row>
    <row r="43" spans="1:21" ht="15.75" x14ac:dyDescent="0.25">
      <c r="A43" s="15"/>
      <c r="B43" s="7"/>
      <c r="C43" s="7"/>
      <c r="D43" s="7"/>
      <c r="E43" s="7"/>
      <c r="F43" s="7"/>
      <c r="G43" s="7"/>
      <c r="H43" s="7"/>
      <c r="I43" s="7"/>
      <c r="J43" s="7"/>
      <c r="K43" s="12"/>
      <c r="L43" s="12"/>
      <c r="M43" s="34"/>
      <c r="N43" s="34"/>
      <c r="O43" s="34"/>
      <c r="P43" s="34"/>
      <c r="Q43" s="8"/>
      <c r="R43" s="8"/>
      <c r="S43" s="10"/>
      <c r="T43" s="10"/>
      <c r="U43" s="16"/>
    </row>
    <row r="44" spans="1:21" ht="15.75" x14ac:dyDescent="0.25">
      <c r="A44" s="15"/>
      <c r="B44" s="7"/>
      <c r="C44" s="7"/>
      <c r="D44" s="7"/>
      <c r="E44" s="7"/>
      <c r="F44" s="7"/>
      <c r="G44" s="7"/>
      <c r="H44" s="7"/>
      <c r="I44" s="7"/>
      <c r="J44" s="7"/>
      <c r="K44" s="12"/>
      <c r="L44" s="12"/>
      <c r="M44" s="34"/>
      <c r="N44" s="34"/>
      <c r="O44" s="34"/>
      <c r="P44" s="34"/>
      <c r="Q44" s="8"/>
      <c r="R44" s="8"/>
      <c r="S44" s="10"/>
      <c r="T44" s="10"/>
      <c r="U44" s="16"/>
    </row>
    <row r="45" spans="1:21" ht="15.75" x14ac:dyDescent="0.25">
      <c r="A45" s="15"/>
      <c r="B45" s="7"/>
      <c r="C45" s="7"/>
      <c r="D45" s="7"/>
      <c r="E45" s="7"/>
      <c r="F45" s="7"/>
      <c r="G45" s="7"/>
      <c r="H45" s="7"/>
      <c r="I45" s="7"/>
      <c r="J45" s="7"/>
      <c r="K45" s="12"/>
      <c r="L45" s="12"/>
      <c r="M45" s="34"/>
      <c r="N45" s="34"/>
      <c r="O45" s="34"/>
      <c r="P45" s="34"/>
      <c r="Q45" s="8"/>
      <c r="R45" s="8"/>
      <c r="S45" s="10"/>
      <c r="T45" s="10"/>
      <c r="U45" s="16"/>
    </row>
    <row r="46" spans="1:21" ht="15.75" x14ac:dyDescent="0.25">
      <c r="A46" s="15"/>
      <c r="B46" s="7"/>
      <c r="C46" s="7"/>
      <c r="D46" s="7"/>
      <c r="E46" s="7"/>
      <c r="F46" s="7"/>
      <c r="G46" s="7"/>
      <c r="H46" s="7"/>
      <c r="I46" s="7"/>
      <c r="J46" s="7"/>
      <c r="K46" s="12"/>
      <c r="L46" s="12"/>
      <c r="M46" s="34"/>
      <c r="N46" s="34"/>
      <c r="O46" s="34"/>
      <c r="P46" s="34"/>
      <c r="Q46" s="8"/>
      <c r="R46" s="8"/>
      <c r="S46" s="10"/>
      <c r="T46" s="10"/>
      <c r="U46" s="16"/>
    </row>
    <row r="47" spans="1:21" ht="15.75" x14ac:dyDescent="0.25">
      <c r="A47" s="15"/>
      <c r="B47" s="7"/>
      <c r="C47" s="7"/>
      <c r="D47" s="7"/>
      <c r="E47" s="7"/>
      <c r="F47" s="7"/>
      <c r="G47" s="7"/>
      <c r="H47" s="7"/>
      <c r="I47" s="7"/>
      <c r="J47" s="7"/>
      <c r="K47" s="12"/>
      <c r="L47" s="12"/>
      <c r="M47" s="16"/>
      <c r="N47" s="16"/>
      <c r="O47" s="16"/>
      <c r="P47" s="16"/>
      <c r="Q47" s="8"/>
      <c r="R47" s="8"/>
      <c r="S47" s="10"/>
      <c r="T47" s="10"/>
      <c r="U47" s="16"/>
    </row>
    <row r="48" spans="1:21" ht="15.75" x14ac:dyDescent="0.25">
      <c r="A48" s="15"/>
      <c r="B48" s="7"/>
      <c r="C48" s="7"/>
      <c r="D48" s="7"/>
      <c r="E48" s="7"/>
      <c r="F48" s="7"/>
      <c r="G48" s="7"/>
      <c r="H48" s="7"/>
      <c r="I48" s="7"/>
      <c r="J48" s="7"/>
      <c r="K48" s="12"/>
      <c r="L48" s="12"/>
      <c r="M48" s="16"/>
      <c r="N48" s="16"/>
      <c r="O48" s="16"/>
      <c r="P48" s="16"/>
      <c r="Q48" s="8"/>
      <c r="R48" s="8"/>
      <c r="S48" s="10"/>
      <c r="T48" s="10"/>
      <c r="U48" s="16"/>
    </row>
    <row r="49" spans="1:21" ht="15.75" x14ac:dyDescent="0.25">
      <c r="A49" s="15"/>
      <c r="B49" s="7"/>
      <c r="C49" s="7"/>
      <c r="D49" s="7"/>
      <c r="E49" s="7"/>
      <c r="F49" s="7"/>
      <c r="G49" s="7"/>
      <c r="H49" s="7"/>
      <c r="I49" s="7"/>
      <c r="J49" s="7"/>
      <c r="K49" s="12"/>
      <c r="L49" s="12"/>
      <c r="M49" s="16"/>
      <c r="N49" s="16"/>
      <c r="O49" s="16"/>
      <c r="P49" s="16"/>
      <c r="Q49" s="8"/>
      <c r="R49" s="8"/>
      <c r="S49" s="10"/>
      <c r="T49" s="10"/>
      <c r="U49" s="16"/>
    </row>
    <row r="50" spans="1:21" ht="15.75" x14ac:dyDescent="0.25">
      <c r="A50" s="15"/>
      <c r="B50" s="7"/>
      <c r="C50" s="7"/>
      <c r="D50" s="7"/>
      <c r="E50" s="7"/>
      <c r="F50" s="7"/>
      <c r="G50" s="7"/>
      <c r="H50" s="7"/>
      <c r="I50" s="7"/>
      <c r="J50" s="7"/>
      <c r="K50" s="12"/>
      <c r="L50" s="12"/>
      <c r="M50" s="16"/>
      <c r="N50" s="16"/>
      <c r="O50" s="16"/>
      <c r="P50" s="16"/>
      <c r="Q50" s="8"/>
      <c r="R50" s="8"/>
      <c r="S50" s="10"/>
      <c r="T50" s="10"/>
      <c r="U50" s="16"/>
    </row>
    <row r="51" spans="1:21" ht="15.75" x14ac:dyDescent="0.25">
      <c r="A51" s="15"/>
      <c r="B51" s="7"/>
      <c r="C51" s="7"/>
      <c r="D51" s="7"/>
      <c r="E51" s="7"/>
      <c r="F51" s="7"/>
      <c r="G51" s="7"/>
      <c r="H51" s="7"/>
      <c r="I51" s="7"/>
      <c r="J51" s="7"/>
      <c r="K51" s="12"/>
      <c r="L51" s="12"/>
      <c r="M51" s="16"/>
      <c r="N51" s="16"/>
      <c r="O51" s="16"/>
      <c r="P51" s="16"/>
      <c r="Q51" s="8"/>
      <c r="R51" s="8"/>
      <c r="S51" s="10"/>
      <c r="T51" s="10"/>
      <c r="U51" s="16"/>
    </row>
    <row r="52" spans="1:21" ht="15.75" x14ac:dyDescent="0.25">
      <c r="A52" s="15"/>
      <c r="B52" s="7"/>
      <c r="C52" s="7"/>
      <c r="D52" s="7"/>
      <c r="E52" s="7"/>
      <c r="F52" s="7"/>
      <c r="G52" s="7"/>
      <c r="H52" s="7"/>
      <c r="I52" s="7"/>
      <c r="J52" s="7"/>
      <c r="K52" s="12"/>
      <c r="L52" s="12"/>
      <c r="M52" s="16"/>
      <c r="N52" s="16"/>
      <c r="O52" s="16"/>
      <c r="P52" s="16"/>
      <c r="Q52" s="8"/>
      <c r="R52" s="8"/>
      <c r="S52" s="10"/>
      <c r="T52" s="10"/>
      <c r="U52" s="16"/>
    </row>
    <row r="53" spans="1:21" ht="15.75" x14ac:dyDescent="0.25">
      <c r="A53" s="15"/>
      <c r="B53" s="7"/>
      <c r="C53" s="7"/>
      <c r="D53" s="7"/>
      <c r="E53" s="7"/>
      <c r="F53" s="7"/>
      <c r="G53" s="7"/>
      <c r="H53" s="7"/>
      <c r="I53" s="7"/>
      <c r="J53" s="7"/>
      <c r="K53" s="12"/>
      <c r="L53" s="12"/>
      <c r="M53" s="16"/>
      <c r="N53" s="16"/>
      <c r="O53" s="16"/>
      <c r="P53" s="16"/>
      <c r="Q53" s="8"/>
      <c r="R53" s="8"/>
      <c r="S53" s="10"/>
      <c r="T53" s="10"/>
      <c r="U53" s="16"/>
    </row>
    <row r="54" spans="1:21" ht="15.75" x14ac:dyDescent="0.25">
      <c r="A54" s="15"/>
      <c r="B54" s="7"/>
      <c r="C54" s="7"/>
      <c r="D54" s="7"/>
      <c r="E54" s="7"/>
      <c r="F54" s="7"/>
      <c r="G54" s="7"/>
      <c r="H54" s="7"/>
      <c r="I54" s="7"/>
      <c r="J54" s="7"/>
      <c r="K54" s="12"/>
      <c r="L54" s="12"/>
      <c r="M54" s="16"/>
      <c r="N54" s="16"/>
      <c r="O54" s="16"/>
      <c r="P54" s="16"/>
      <c r="Q54" s="8"/>
      <c r="R54" s="8"/>
      <c r="S54" s="10"/>
      <c r="T54" s="10"/>
      <c r="U54" s="16"/>
    </row>
    <row r="55" spans="1:21" ht="15.75" x14ac:dyDescent="0.25">
      <c r="A55" s="15"/>
      <c r="B55" s="7"/>
      <c r="C55" s="7"/>
      <c r="D55" s="7"/>
      <c r="E55" s="7"/>
      <c r="F55" s="7"/>
      <c r="G55" s="7"/>
      <c r="H55" s="7"/>
      <c r="I55" s="7"/>
      <c r="J55" s="7"/>
      <c r="K55" s="12"/>
      <c r="L55" s="12"/>
      <c r="M55" s="16"/>
      <c r="N55" s="16"/>
      <c r="O55" s="16"/>
      <c r="P55" s="16"/>
      <c r="Q55" s="8"/>
      <c r="R55" s="8"/>
      <c r="S55" s="10"/>
      <c r="T55" s="10"/>
      <c r="U55" s="16"/>
    </row>
    <row r="56" spans="1:21" ht="15.75" x14ac:dyDescent="0.25">
      <c r="A56" s="15"/>
      <c r="B56" s="7"/>
      <c r="C56" s="7"/>
      <c r="D56" s="7"/>
      <c r="E56" s="7"/>
      <c r="F56" s="7"/>
      <c r="G56" s="7"/>
      <c r="H56" s="7"/>
      <c r="I56" s="7"/>
      <c r="J56" s="7"/>
      <c r="K56" s="12"/>
      <c r="L56" s="12"/>
      <c r="M56" s="16"/>
      <c r="N56" s="16"/>
      <c r="O56" s="16"/>
      <c r="P56" s="16"/>
      <c r="Q56" s="8"/>
      <c r="R56" s="8"/>
      <c r="S56" s="10"/>
      <c r="T56" s="10"/>
      <c r="U56" s="16"/>
    </row>
    <row r="57" spans="1:21" ht="15.75" x14ac:dyDescent="0.25">
      <c r="A57" s="15"/>
      <c r="B57" s="7"/>
      <c r="C57" s="7"/>
      <c r="D57" s="7"/>
      <c r="E57" s="7"/>
      <c r="F57" s="7"/>
      <c r="G57" s="7"/>
      <c r="H57" s="7"/>
      <c r="I57" s="7"/>
      <c r="J57" s="7"/>
      <c r="K57" s="12"/>
      <c r="L57" s="12"/>
      <c r="M57" s="16"/>
      <c r="N57" s="16"/>
      <c r="O57" s="16"/>
      <c r="P57" s="16"/>
      <c r="Q57" s="8"/>
      <c r="R57" s="8"/>
      <c r="S57" s="10"/>
      <c r="T57" s="10"/>
      <c r="U57" s="16"/>
    </row>
    <row r="58" spans="1:21" ht="15.75" x14ac:dyDescent="0.25">
      <c r="A58" s="15"/>
      <c r="B58" s="7"/>
      <c r="C58" s="7"/>
      <c r="D58" s="7"/>
      <c r="E58" s="7"/>
      <c r="F58" s="7"/>
      <c r="G58" s="7"/>
      <c r="H58" s="7"/>
      <c r="I58" s="7"/>
      <c r="J58" s="7"/>
      <c r="K58" s="12"/>
      <c r="L58" s="12"/>
      <c r="M58" s="16"/>
      <c r="N58" s="16"/>
      <c r="O58" s="16"/>
      <c r="P58" s="16"/>
      <c r="Q58" s="8"/>
      <c r="R58" s="8"/>
      <c r="S58" s="10"/>
      <c r="T58" s="10"/>
      <c r="U58" s="16"/>
    </row>
    <row r="59" spans="1:21" ht="15.75" x14ac:dyDescent="0.25">
      <c r="A59" s="15"/>
      <c r="B59" s="7"/>
      <c r="C59" s="7"/>
      <c r="D59" s="7"/>
      <c r="E59" s="7"/>
      <c r="F59" s="7"/>
      <c r="G59" s="7"/>
      <c r="H59" s="7"/>
      <c r="I59" s="7"/>
      <c r="J59" s="7"/>
      <c r="K59" s="12"/>
      <c r="L59" s="12"/>
      <c r="M59" s="16"/>
      <c r="N59" s="16"/>
      <c r="O59" s="16"/>
      <c r="P59" s="16"/>
      <c r="Q59" s="8"/>
      <c r="R59" s="8"/>
      <c r="S59" s="10"/>
      <c r="T59" s="10"/>
      <c r="U59" s="16"/>
    </row>
    <row r="60" spans="1:21" ht="15.75" x14ac:dyDescent="0.25">
      <c r="A60" s="15"/>
      <c r="B60" s="7"/>
      <c r="C60" s="7"/>
      <c r="D60" s="7"/>
      <c r="E60" s="7"/>
      <c r="F60" s="7"/>
      <c r="G60" s="7"/>
      <c r="H60" s="7"/>
      <c r="I60" s="7"/>
      <c r="J60" s="7"/>
      <c r="K60" s="12"/>
      <c r="L60" s="12"/>
      <c r="M60" s="16"/>
      <c r="N60" s="16"/>
      <c r="O60" s="16"/>
      <c r="P60" s="16"/>
      <c r="Q60" s="8"/>
      <c r="R60" s="8"/>
      <c r="S60" s="10"/>
      <c r="T60" s="10"/>
      <c r="U60" s="16"/>
    </row>
    <row r="61" spans="1:21" ht="15.75" x14ac:dyDescent="0.25">
      <c r="A61" s="15"/>
      <c r="B61" s="7"/>
      <c r="C61" s="7"/>
      <c r="D61" s="7"/>
      <c r="E61" s="7"/>
      <c r="F61" s="7"/>
      <c r="G61" s="7"/>
      <c r="H61" s="7"/>
      <c r="I61" s="7"/>
      <c r="J61" s="7"/>
      <c r="K61" s="12"/>
      <c r="L61" s="12"/>
      <c r="M61" s="16"/>
      <c r="N61" s="16"/>
      <c r="O61" s="16"/>
      <c r="P61" s="16"/>
      <c r="Q61" s="8"/>
      <c r="R61" s="8"/>
      <c r="S61" s="10"/>
      <c r="T61" s="10"/>
      <c r="U61" s="16"/>
    </row>
    <row r="62" spans="1:21" ht="15.75" x14ac:dyDescent="0.25">
      <c r="A62" s="15"/>
      <c r="B62" s="7"/>
      <c r="C62" s="7"/>
      <c r="D62" s="7"/>
      <c r="E62" s="7"/>
      <c r="F62" s="7"/>
      <c r="G62" s="7"/>
      <c r="H62" s="7"/>
      <c r="I62" s="7"/>
      <c r="J62" s="7"/>
      <c r="K62" s="12"/>
      <c r="L62" s="12"/>
      <c r="M62" s="16"/>
      <c r="N62" s="16"/>
      <c r="O62" s="16"/>
      <c r="P62" s="16"/>
      <c r="Q62" s="8"/>
      <c r="R62" s="8"/>
      <c r="S62" s="10"/>
      <c r="T62" s="10"/>
      <c r="U62" s="16"/>
    </row>
    <row r="63" spans="1:21" ht="15.75" x14ac:dyDescent="0.25">
      <c r="A63" s="15"/>
      <c r="B63" s="7"/>
      <c r="C63" s="7"/>
      <c r="D63" s="7"/>
      <c r="E63" s="7"/>
      <c r="F63" s="7"/>
      <c r="G63" s="7"/>
      <c r="H63" s="7"/>
      <c r="I63" s="7"/>
      <c r="J63" s="7"/>
      <c r="K63" s="12"/>
      <c r="L63" s="12"/>
      <c r="M63" s="16"/>
      <c r="N63" s="16"/>
      <c r="O63" s="16"/>
      <c r="P63" s="16"/>
      <c r="Q63" s="8"/>
      <c r="R63" s="8"/>
      <c r="S63" s="10"/>
      <c r="T63" s="10"/>
      <c r="U63" s="16"/>
    </row>
    <row r="64" spans="1:21" ht="15.75" x14ac:dyDescent="0.25">
      <c r="A64" s="15"/>
      <c r="B64" s="7"/>
      <c r="C64" s="7"/>
      <c r="D64" s="7"/>
      <c r="E64" s="7"/>
      <c r="F64" s="7"/>
      <c r="G64" s="7"/>
      <c r="H64" s="7"/>
      <c r="I64" s="7"/>
      <c r="J64" s="7"/>
      <c r="K64" s="12"/>
      <c r="L64" s="12"/>
      <c r="M64" s="16"/>
      <c r="N64" s="16"/>
      <c r="O64" s="16"/>
      <c r="P64" s="16"/>
      <c r="Q64" s="8"/>
      <c r="R64" s="8"/>
      <c r="S64" s="10"/>
      <c r="T64" s="10"/>
      <c r="U64" s="16"/>
    </row>
    <row r="65" spans="1:21" ht="15.75" x14ac:dyDescent="0.25">
      <c r="A65" s="15"/>
      <c r="B65" s="7"/>
      <c r="C65" s="7"/>
      <c r="D65" s="7"/>
      <c r="E65" s="7"/>
      <c r="F65" s="7"/>
      <c r="G65" s="7"/>
      <c r="H65" s="7"/>
      <c r="I65" s="7"/>
      <c r="J65" s="7"/>
      <c r="K65" s="12"/>
      <c r="L65" s="12"/>
      <c r="M65" s="16"/>
      <c r="N65" s="16"/>
      <c r="O65" s="16"/>
      <c r="P65" s="16"/>
      <c r="Q65" s="8"/>
      <c r="R65" s="8"/>
      <c r="S65" s="10"/>
      <c r="T65" s="10"/>
      <c r="U65" s="16"/>
    </row>
    <row r="66" spans="1:21" ht="15.75" x14ac:dyDescent="0.25">
      <c r="A66" s="15"/>
      <c r="B66" s="7"/>
      <c r="C66" s="7"/>
      <c r="D66" s="7"/>
      <c r="E66" s="7"/>
      <c r="F66" s="7"/>
      <c r="G66" s="7"/>
      <c r="H66" s="7"/>
      <c r="I66" s="7"/>
      <c r="J66" s="7"/>
      <c r="K66" s="12"/>
      <c r="L66" s="12"/>
      <c r="M66" s="16"/>
      <c r="N66" s="16"/>
      <c r="O66" s="16"/>
      <c r="P66" s="16"/>
      <c r="Q66" s="8"/>
      <c r="R66" s="8"/>
      <c r="S66" s="10"/>
      <c r="T66" s="10"/>
      <c r="U66" s="16"/>
    </row>
    <row r="67" spans="1:21" ht="15.75" x14ac:dyDescent="0.25">
      <c r="A67" s="15"/>
      <c r="B67" s="7"/>
      <c r="C67" s="7"/>
      <c r="D67" s="7"/>
      <c r="E67" s="7"/>
      <c r="F67" s="7"/>
      <c r="G67" s="7"/>
      <c r="H67" s="7"/>
      <c r="I67" s="7"/>
      <c r="J67" s="7"/>
      <c r="K67" s="12"/>
      <c r="L67" s="12"/>
      <c r="M67" s="16"/>
      <c r="N67" s="16"/>
      <c r="O67" s="16"/>
      <c r="P67" s="16"/>
      <c r="Q67" s="8"/>
      <c r="R67" s="8"/>
      <c r="S67" s="10"/>
      <c r="T67" s="10"/>
      <c r="U67" s="16"/>
    </row>
    <row r="68" spans="1:21" x14ac:dyDescent="0.25">
      <c r="K68" s="5"/>
      <c r="L68" s="5"/>
      <c r="M68" s="6"/>
      <c r="N68" s="6"/>
      <c r="O68" s="6"/>
      <c r="P68" s="6"/>
    </row>
    <row r="69" spans="1:21" x14ac:dyDescent="0.25">
      <c r="K69" s="5"/>
      <c r="L69" s="5"/>
      <c r="M69" s="6"/>
      <c r="N69" s="6"/>
      <c r="O69" s="6"/>
      <c r="P69" s="6"/>
    </row>
    <row r="70" spans="1:21" x14ac:dyDescent="0.25">
      <c r="K70" s="5"/>
      <c r="L70" s="5"/>
      <c r="M70" s="6"/>
      <c r="N70" s="6"/>
      <c r="O70" s="6"/>
      <c r="P70" s="6"/>
    </row>
  </sheetData>
  <sortState xmlns:xlrd2="http://schemas.microsoft.com/office/spreadsheetml/2017/richdata2" ref="B10:R28">
    <sortCondition descending="1" ref="M10:M28"/>
  </sortState>
  <mergeCells count="23">
    <mergeCell ref="B1:H1"/>
    <mergeCell ref="H3:H6"/>
    <mergeCell ref="I3:I6"/>
    <mergeCell ref="Q3:Q6"/>
    <mergeCell ref="J3:J6"/>
    <mergeCell ref="C3:C6"/>
    <mergeCell ref="D3:D6"/>
    <mergeCell ref="A3:A6"/>
    <mergeCell ref="B3:B6"/>
    <mergeCell ref="G3:G6"/>
    <mergeCell ref="E3:E6"/>
    <mergeCell ref="F3:F6"/>
    <mergeCell ref="V2:X2"/>
    <mergeCell ref="K3:M5"/>
    <mergeCell ref="S3:U5"/>
    <mergeCell ref="V3:X5"/>
    <mergeCell ref="O4:P4"/>
    <mergeCell ref="O5:P5"/>
    <mergeCell ref="R3:R6"/>
    <mergeCell ref="S2:U2"/>
    <mergeCell ref="K2:M2"/>
    <mergeCell ref="N3:P3"/>
    <mergeCell ref="N2:P2"/>
  </mergeCells>
  <conditionalFormatting sqref="M7:M17">
    <cfRule type="cellIs" dxfId="34" priority="141" operator="greaterThanOrEqual">
      <formula>3</formula>
    </cfRule>
    <cfRule type="cellIs" dxfId="33" priority="83" operator="greaterThanOrEqual">
      <formula>8</formula>
    </cfRule>
    <cfRule type="cellIs" dxfId="32" priority="84" operator="greaterThanOrEqual">
      <formula>7</formula>
    </cfRule>
    <cfRule type="cellIs" dxfId="31" priority="115" operator="greaterThanOrEqual">
      <formula>6</formula>
    </cfRule>
    <cfRule type="cellIs" dxfId="30" priority="140" operator="greaterThanOrEqual">
      <formula>5</formula>
    </cfRule>
    <cfRule type="cellIs" dxfId="29" priority="143" operator="lessThanOrEqual">
      <formula>0</formula>
    </cfRule>
    <cfRule type="cellIs" dxfId="28" priority="62" operator="greaterThan">
      <formula>10</formula>
    </cfRule>
    <cfRule type="cellIs" dxfId="27" priority="142" operator="greaterThan">
      <formula>0</formula>
    </cfRule>
    <cfRule type="cellIs" dxfId="26" priority="82" operator="greaterThanOrEqual">
      <formula>9</formula>
    </cfRule>
  </conditionalFormatting>
  <conditionalFormatting sqref="M18:P19 M20:N20 P20 M21:P67">
    <cfRule type="cellIs" dxfId="25" priority="226" operator="between">
      <formula>2</formula>
      <formula>3.9</formula>
    </cfRule>
    <cfRule type="cellIs" dxfId="24" priority="225" operator="between">
      <formula>4</formula>
      <formula>5.9</formula>
    </cfRule>
    <cfRule type="cellIs" dxfId="23" priority="224" operator="between">
      <formula>6</formula>
      <formula>10</formula>
    </cfRule>
  </conditionalFormatting>
  <conditionalFormatting sqref="M18:P19 M20:N20 P20 M21:P70">
    <cfRule type="cellIs" dxfId="22" priority="227" operator="equal">
      <formula>0</formula>
    </cfRule>
  </conditionalFormatting>
  <conditionalFormatting sqref="M68:P70">
    <cfRule type="cellIs" dxfId="21" priority="249" operator="between">
      <formula>4</formula>
      <formula>5</formula>
    </cfRule>
    <cfRule type="cellIs" dxfId="20" priority="250" operator="between">
      <formula>1</formula>
      <formula>3</formula>
    </cfRule>
    <cfRule type="cellIs" dxfId="19" priority="248" operator="between">
      <formula>6</formula>
      <formula>8</formula>
    </cfRule>
  </conditionalFormatting>
  <conditionalFormatting sqref="N7:P17">
    <cfRule type="cellIs" dxfId="18" priority="63" operator="lessThanOrEqual">
      <formula>0</formula>
    </cfRule>
  </conditionalFormatting>
  <conditionalFormatting sqref="Q21:R21">
    <cfRule type="cellIs" dxfId="17" priority="196" operator="greaterThan">
      <formula>6</formula>
    </cfRule>
    <cfRule type="cellIs" dxfId="16" priority="197" operator="between">
      <formula>4</formula>
      <formula>5.9</formula>
    </cfRule>
    <cfRule type="cellIs" dxfId="15" priority="198" operator="between">
      <formula>2</formula>
      <formula>3.9</formula>
    </cfRule>
    <cfRule type="cellIs" dxfId="14" priority="199" operator="lessThan">
      <formula>0.001</formula>
    </cfRule>
  </conditionalFormatting>
  <conditionalFormatting sqref="U7:U17">
    <cfRule type="cellIs" dxfId="13" priority="2" operator="greaterThan">
      <formula>10</formula>
    </cfRule>
    <cfRule type="cellIs" dxfId="12" priority="3" operator="greaterThanOrEqual">
      <formula>9</formula>
    </cfRule>
    <cfRule type="cellIs" dxfId="11" priority="4" operator="greaterThanOrEqual">
      <formula>8</formula>
    </cfRule>
    <cfRule type="cellIs" dxfId="10" priority="5" operator="greaterThanOrEqual">
      <formula>7</formula>
    </cfRule>
    <cfRule type="cellIs" dxfId="9" priority="9" operator="greaterThan">
      <formula>0</formula>
    </cfRule>
    <cfRule type="cellIs" dxfId="8" priority="8" operator="greaterThanOrEqual">
      <formula>3</formula>
    </cfRule>
    <cfRule type="cellIs" dxfId="7" priority="7" operator="greaterThanOrEqual">
      <formula>5</formula>
    </cfRule>
    <cfRule type="cellIs" dxfId="6" priority="6" operator="greaterThanOrEqual">
      <formula>6</formula>
    </cfRule>
    <cfRule type="cellIs" dxfId="5" priority="10" operator="lessThanOrEqual">
      <formula>0</formula>
    </cfRule>
  </conditionalFormatting>
  <conditionalFormatting sqref="U18:U67">
    <cfRule type="cellIs" dxfId="4" priority="148" operator="between">
      <formula>6</formula>
      <formula>10</formula>
    </cfRule>
    <cfRule type="cellIs" dxfId="3" priority="149" operator="between">
      <formula>4</formula>
      <formula>5.9</formula>
    </cfRule>
    <cfRule type="cellIs" dxfId="2" priority="150" operator="between">
      <formula>2</formula>
      <formula>3.9</formula>
    </cfRule>
    <cfRule type="cellIs" dxfId="1" priority="151" operator="equal">
      <formula>0</formula>
    </cfRule>
  </conditionalFormatting>
  <conditionalFormatting sqref="V7:Y17">
    <cfRule type="cellIs" dxfId="0" priority="1" operator="lessThanOrEqual">
      <formula>0</formula>
    </cfRule>
  </conditionalFormatting>
  <pageMargins left="0.7" right="0.7" top="0.75" bottom="0.75" header="0.3" footer="0.3"/>
  <pageSetup paperSize="9" scale="61"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Tjenesteprofil</vt:lpstr>
      <vt:lpstr>Deltakere</vt:lpstr>
      <vt:lpstr>Risikovurdering</vt:lpstr>
      <vt:lpstr>Tjeneste_System</vt:lpstr>
    </vt:vector>
  </TitlesOfParts>
  <Company>UNINETT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UiO - Informasjonssikkerhet</dc:title>
  <dc:creator>josang@ifi.uio.no</dc:creator>
  <cp:lastModifiedBy>Justas Simutis</cp:lastModifiedBy>
  <cp:lastPrinted>2014-07-29T11:43:31Z</cp:lastPrinted>
  <dcterms:created xsi:type="dcterms:W3CDTF">2013-08-20T08:10:14Z</dcterms:created>
  <dcterms:modified xsi:type="dcterms:W3CDTF">2025-10-31T18:35:56Z</dcterms:modified>
</cp:coreProperties>
</file>